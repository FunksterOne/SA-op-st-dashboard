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vardNordang\Github\SA-op-st-dashboard\strategi\data\"/>
    </mc:Choice>
  </mc:AlternateContent>
  <xr:revisionPtr revIDLastSave="0" documentId="8_{42E5A038-29DF-4033-AE83-5F247F29E7E1}" xr6:coauthVersionLast="47" xr6:coauthVersionMax="47" xr10:uidLastSave="{00000000-0000-0000-0000-000000000000}"/>
  <bookViews>
    <workbookView xWindow="-28920" yWindow="2265" windowWidth="29040" windowHeight="15720" tabRatio="719" activeTab="2" xr2:uid="{00000000-000D-0000-FFFF-FFFF00000000}"/>
  </bookViews>
  <sheets>
    <sheet name="Areal - Gruppen" sheetId="17" r:id="rId1"/>
    <sheet name="Areal - Budsjett 2020" sheetId="1" r:id="rId2"/>
    <sheet name="Fritzøe - budsj 2020" sheetId="19" r:id="rId3"/>
    <sheet name="KONSERN - Budsjett 2019" sheetId="15" r:id="rId4"/>
    <sheet name="Areal - forutsetn." sheetId="9" r:id="rId5"/>
    <sheet name="Fritzøe - forutsetn" sheetId="16" r:id="rId6"/>
    <sheet name="Ark1" sheetId="21" r:id="rId7"/>
    <sheet name="Ark2" sheetId="22" r:id="rId8"/>
    <sheet name="Forutsetninger Areal-Gruppen" sheetId="18" state="hidden" r:id="rId9"/>
    <sheet name="Fritzøe - SERVICE" sheetId="10" state="hidden" r:id="rId10"/>
    <sheet name="Fritzøe - budsjett service" sheetId="11" state="hidden" r:id="rId11"/>
    <sheet name="Fritzøe - Budsjett 2019" sheetId="20" state="hidden" r:id="rId12"/>
  </sheets>
  <definedNames>
    <definedName name="SALDOBALANSE_1_10_2008_ALLEKTO" localSheetId="1">'Areal - Budsjett 2020'!$A$5:$D$142</definedName>
    <definedName name="SALDOBALANSE_1_10_2008_ALLEKTO" localSheetId="0">'Areal - Gruppen'!$A$5:$D$86</definedName>
    <definedName name="SALDOBALANSE_1_10_2008_ALLEKTO" localSheetId="2">'Fritzøe - budsj 2020'!$A$5:$D$157</definedName>
    <definedName name="SALDOBALANSE_1_10_2008_ALLEKTO" localSheetId="11">'Fritzøe - Budsjett 2019'!$A$5:$D$155</definedName>
    <definedName name="SALDOBALANSE_1_10_2008_ALLEKTO" localSheetId="10">'Fritzøe - budsjett service'!$A$5:$D$156</definedName>
    <definedName name="SALDOBALANSE_1_10_2008_ALLEKTO" localSheetId="3">'KONSERN - Budsjett 2019'!$A$5:$D$98</definedName>
    <definedName name="_xlnm.Print_Area" localSheetId="1">'Areal - Budsjett 2020'!$A$1:$P$147</definedName>
    <definedName name="_xlnm.Print_Area" localSheetId="4">'Areal - forutsetn.'!$A$1:$S$63</definedName>
    <definedName name="_xlnm.Print_Area" localSheetId="0">'Areal - Gruppen'!$A$1:$P$91</definedName>
    <definedName name="_xlnm.Print_Area" localSheetId="2">'Fritzøe - budsj 2020'!$A$1:$P$162</definedName>
    <definedName name="_xlnm.Print_Area" localSheetId="11">'Fritzøe - Budsjett 2019'!$A$1:$P$160</definedName>
    <definedName name="_xlnm.Print_Area" localSheetId="10">'Fritzøe - budsjett service'!$A$1:$P$161</definedName>
    <definedName name="_xlnm.Print_Area" localSheetId="5">'Fritzøe - forutsetn'!$A$1:$S$65</definedName>
    <definedName name="_xlnm.Print_Area" localSheetId="9">'Fritzøe - SERVICE'!$A$1:$S$38</definedName>
    <definedName name="_xlnm.Print_Area" localSheetId="3">'KONSERN - Budsjett 2019'!$A$1:$P$109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1" l="1"/>
  <c r="E27" i="21" l="1"/>
  <c r="E26" i="21"/>
  <c r="E28" i="21" l="1"/>
  <c r="F28" i="21" s="1"/>
  <c r="E11" i="22"/>
  <c r="E10" i="22"/>
  <c r="E12" i="22"/>
  <c r="E9" i="22"/>
  <c r="E8" i="22"/>
  <c r="E7" i="22"/>
  <c r="C11" i="22" l="1"/>
  <c r="D97" i="19"/>
  <c r="C13" i="22"/>
  <c r="E13" i="22" s="1"/>
  <c r="F6" i="19" l="1"/>
  <c r="D6" i="19"/>
  <c r="J26" i="19"/>
  <c r="J6" i="19" s="1"/>
  <c r="C6" i="22"/>
  <c r="E5" i="21"/>
  <c r="F5" i="21"/>
  <c r="G5" i="21"/>
  <c r="H5" i="21"/>
  <c r="I5" i="21"/>
  <c r="J5" i="21"/>
  <c r="K5" i="21"/>
  <c r="L5" i="21"/>
  <c r="M5" i="21"/>
  <c r="B18" i="21"/>
  <c r="C13" i="21"/>
  <c r="E12" i="21"/>
  <c r="F12" i="21" s="1"/>
  <c r="G12" i="21" s="1"/>
  <c r="H26" i="19"/>
  <c r="I26" i="19" s="1"/>
  <c r="L26" i="19" s="1"/>
  <c r="M26" i="19" s="1"/>
  <c r="N26" i="19" s="1"/>
  <c r="O26" i="19" s="1"/>
  <c r="E26" i="19"/>
  <c r="C11" i="21"/>
  <c r="G8" i="21"/>
  <c r="Q8" i="21"/>
  <c r="C16" i="22" l="1"/>
  <c r="E6" i="22"/>
  <c r="E16" i="22" s="1"/>
  <c r="H12" i="21"/>
  <c r="I12" i="21" s="1"/>
  <c r="J12" i="21" s="1"/>
  <c r="K12" i="21" s="1"/>
  <c r="L12" i="21" s="1"/>
  <c r="M12" i="21" s="1"/>
  <c r="N12" i="21" s="1"/>
  <c r="O12" i="21" s="1"/>
  <c r="C8" i="21"/>
  <c r="C12" i="21" l="1"/>
  <c r="G10" i="21" l="1"/>
  <c r="E10" i="21"/>
  <c r="E17" i="21" s="1"/>
  <c r="M9" i="21"/>
  <c r="N9" i="21"/>
  <c r="O9" i="21" s="1"/>
  <c r="I9" i="21"/>
  <c r="Q7" i="21"/>
  <c r="Q6" i="21"/>
  <c r="B5" i="21"/>
  <c r="D5" i="21"/>
  <c r="A23" i="21"/>
  <c r="D17" i="21" l="1"/>
  <c r="C5" i="21"/>
  <c r="C7" i="21"/>
  <c r="F17" i="21"/>
  <c r="G17" i="21"/>
  <c r="H10" i="21"/>
  <c r="J17" i="21"/>
  <c r="C9" i="21"/>
  <c r="C6" i="21"/>
  <c r="C4" i="21"/>
  <c r="H17" i="21" l="1"/>
  <c r="I10" i="21"/>
  <c r="I17" i="21" s="1"/>
  <c r="L10" i="21"/>
  <c r="K17" i="21"/>
  <c r="L17" i="21" l="1"/>
  <c r="M10" i="21"/>
  <c r="M17" i="21" l="1"/>
  <c r="O10" i="21" l="1"/>
  <c r="N17" i="21"/>
  <c r="O17" i="21" l="1"/>
  <c r="C17" i="21" s="1"/>
  <c r="C10" i="21"/>
  <c r="D13" i="17" l="1"/>
  <c r="G26" i="18"/>
  <c r="G25" i="18"/>
  <c r="G27" i="18" s="1"/>
  <c r="G28" i="18" s="1"/>
  <c r="D49" i="17" l="1"/>
  <c r="E11" i="17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D28" i="17"/>
  <c r="F28" i="17"/>
  <c r="D39" i="17" s="1"/>
  <c r="E13" i="17"/>
  <c r="D10" i="17"/>
  <c r="E10" i="17" s="1"/>
  <c r="F10" i="17" s="1"/>
  <c r="G10" i="17" s="1"/>
  <c r="H10" i="17" s="1"/>
  <c r="I10" i="17" s="1"/>
  <c r="D21" i="17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1" i="17" s="1"/>
  <c r="D8" i="17"/>
  <c r="E8" i="17" s="1"/>
  <c r="D17" i="17"/>
  <c r="E9" i="17"/>
  <c r="E7" i="17"/>
  <c r="E68" i="19"/>
  <c r="F68" i="19"/>
  <c r="G68" i="19" s="1"/>
  <c r="H68" i="19" s="1"/>
  <c r="I68" i="19" s="1"/>
  <c r="J68" i="19" s="1"/>
  <c r="K68" i="19" s="1"/>
  <c r="L68" i="19" s="1"/>
  <c r="M68" i="19" s="1"/>
  <c r="N68" i="19" s="1"/>
  <c r="O68" i="19" s="1"/>
  <c r="J51" i="1"/>
  <c r="D51" i="1"/>
  <c r="D48" i="1"/>
  <c r="E50" i="1"/>
  <c r="F50" i="1" s="1"/>
  <c r="G50" i="1" s="1"/>
  <c r="D9" i="17"/>
  <c r="D7" i="17"/>
  <c r="E6" i="17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D5" i="17"/>
  <c r="D14" i="17" s="1"/>
  <c r="D52" i="17" l="1"/>
  <c r="E49" i="17"/>
  <c r="F13" i="17"/>
  <c r="P11" i="17"/>
  <c r="J10" i="17"/>
  <c r="K10" i="17" s="1"/>
  <c r="L10" i="17" s="1"/>
  <c r="M10" i="17" s="1"/>
  <c r="N10" i="17" s="1"/>
  <c r="O10" i="17" s="1"/>
  <c r="P10" i="17"/>
  <c r="P21" i="17"/>
  <c r="P68" i="19"/>
  <c r="F7" i="17"/>
  <c r="G7" i="17" s="1"/>
  <c r="H7" i="17" s="1"/>
  <c r="I7" i="17" s="1"/>
  <c r="J7" i="17" s="1"/>
  <c r="K7" i="17" s="1"/>
  <c r="L7" i="17" s="1"/>
  <c r="M7" i="17" s="1"/>
  <c r="N7" i="17" s="1"/>
  <c r="O7" i="17" s="1"/>
  <c r="F8" i="17"/>
  <c r="G8" i="17" s="1"/>
  <c r="H8" i="17" s="1"/>
  <c r="I8" i="17" s="1"/>
  <c r="J8" i="17" s="1"/>
  <c r="K8" i="17" s="1"/>
  <c r="L8" i="17" s="1"/>
  <c r="M8" i="17" s="1"/>
  <c r="N8" i="17" s="1"/>
  <c r="O8" i="17" s="1"/>
  <c r="F9" i="17"/>
  <c r="G9" i="17" s="1"/>
  <c r="H9" i="17" s="1"/>
  <c r="I9" i="17" s="1"/>
  <c r="J9" i="17" s="1"/>
  <c r="K9" i="17" s="1"/>
  <c r="L9" i="17" s="1"/>
  <c r="M9" i="17" s="1"/>
  <c r="N9" i="17" s="1"/>
  <c r="O9" i="17" s="1"/>
  <c r="H50" i="1"/>
  <c r="I50" i="1" s="1"/>
  <c r="J50" i="1" s="1"/>
  <c r="K50" i="1" s="1"/>
  <c r="L50" i="1" s="1"/>
  <c r="M50" i="1" s="1"/>
  <c r="N50" i="1" s="1"/>
  <c r="O50" i="1" s="1"/>
  <c r="P50" i="1"/>
  <c r="P6" i="17"/>
  <c r="F49" i="17" l="1"/>
  <c r="G13" i="17"/>
  <c r="H13" i="17" s="1"/>
  <c r="P8" i="17"/>
  <c r="P9" i="17"/>
  <c r="P7" i="17"/>
  <c r="G49" i="17" l="1"/>
  <c r="I13" i="17"/>
  <c r="E154" i="19"/>
  <c r="P154" i="19" s="1"/>
  <c r="F154" i="19"/>
  <c r="G154" i="19"/>
  <c r="H154" i="19"/>
  <c r="I154" i="19" s="1"/>
  <c r="J154" i="19" s="1"/>
  <c r="K154" i="19" s="1"/>
  <c r="L154" i="19" s="1"/>
  <c r="M154" i="19" s="1"/>
  <c r="N154" i="19" s="1"/>
  <c r="O154" i="19" s="1"/>
  <c r="D138" i="19"/>
  <c r="E120" i="1"/>
  <c r="F120" i="1"/>
  <c r="G120" i="1"/>
  <c r="H120" i="1" s="1"/>
  <c r="I120" i="1" s="1"/>
  <c r="E78" i="19"/>
  <c r="F78" i="19" s="1"/>
  <c r="G78" i="19" s="1"/>
  <c r="H78" i="19" s="1"/>
  <c r="I78" i="19" s="1"/>
  <c r="J78" i="19" s="1"/>
  <c r="K78" i="19" s="1"/>
  <c r="L78" i="19" s="1"/>
  <c r="M78" i="19" s="1"/>
  <c r="N78" i="19" s="1"/>
  <c r="O78" i="19" s="1"/>
  <c r="H49" i="17" l="1"/>
  <c r="J13" i="17"/>
  <c r="J120" i="1"/>
  <c r="K120" i="1" s="1"/>
  <c r="L120" i="1" s="1"/>
  <c r="M120" i="1" s="1"/>
  <c r="N120" i="1" s="1"/>
  <c r="O120" i="1" s="1"/>
  <c r="P120" i="1"/>
  <c r="P78" i="19"/>
  <c r="D65" i="19"/>
  <c r="E65" i="19" s="1"/>
  <c r="F65" i="19" s="1"/>
  <c r="G65" i="19" s="1"/>
  <c r="H65" i="19" s="1"/>
  <c r="I65" i="19" s="1"/>
  <c r="J65" i="19" s="1"/>
  <c r="K65" i="19" s="1"/>
  <c r="L65" i="19" s="1"/>
  <c r="M65" i="19" s="1"/>
  <c r="N65" i="19" s="1"/>
  <c r="O65" i="19" s="1"/>
  <c r="D63" i="19"/>
  <c r="K64" i="19"/>
  <c r="L64" i="19" s="1"/>
  <c r="M64" i="19" s="1"/>
  <c r="N64" i="19" s="1"/>
  <c r="E64" i="19"/>
  <c r="F64" i="19"/>
  <c r="G64" i="19"/>
  <c r="H64" i="19"/>
  <c r="I64" i="19"/>
  <c r="D64" i="19"/>
  <c r="I49" i="17" l="1"/>
  <c r="K13" i="17"/>
  <c r="O64" i="19"/>
  <c r="P64" i="19" s="1"/>
  <c r="P65" i="19"/>
  <c r="M64" i="1"/>
  <c r="N64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E43" i="19"/>
  <c r="P38" i="19"/>
  <c r="P40" i="19"/>
  <c r="E39" i="19"/>
  <c r="E49" i="19"/>
  <c r="F49" i="19" s="1"/>
  <c r="G49" i="19" s="1"/>
  <c r="H49" i="19" s="1"/>
  <c r="I49" i="19" s="1"/>
  <c r="E50" i="19"/>
  <c r="E55" i="1"/>
  <c r="F55" i="1" s="1"/>
  <c r="G55" i="1" s="1"/>
  <c r="H55" i="1" s="1"/>
  <c r="I55" i="1" s="1"/>
  <c r="E63" i="1"/>
  <c r="F63" i="1"/>
  <c r="E62" i="1"/>
  <c r="F62" i="1"/>
  <c r="G62" i="1" s="1"/>
  <c r="D58" i="1"/>
  <c r="D56" i="1"/>
  <c r="D57" i="1"/>
  <c r="J49" i="17" l="1"/>
  <c r="D65" i="1"/>
  <c r="L13" i="17"/>
  <c r="F39" i="19"/>
  <c r="G39" i="19" s="1"/>
  <c r="H39" i="19" s="1"/>
  <c r="I39" i="19" s="1"/>
  <c r="J39" i="19" s="1"/>
  <c r="K39" i="19" s="1"/>
  <c r="L39" i="19" s="1"/>
  <c r="M39" i="19" s="1"/>
  <c r="N39" i="19" s="1"/>
  <c r="O39" i="19" s="1"/>
  <c r="O64" i="1"/>
  <c r="P64" i="1" s="1"/>
  <c r="P33" i="1"/>
  <c r="F50" i="19"/>
  <c r="G50" i="19" s="1"/>
  <c r="H50" i="19" s="1"/>
  <c r="I50" i="19" s="1"/>
  <c r="J50" i="19" s="1"/>
  <c r="K50" i="19" s="1"/>
  <c r="L50" i="19" s="1"/>
  <c r="M50" i="19" s="1"/>
  <c r="N50" i="19" s="1"/>
  <c r="O50" i="19" s="1"/>
  <c r="F43" i="19"/>
  <c r="G43" i="19" s="1"/>
  <c r="H43" i="19" s="1"/>
  <c r="I43" i="19" s="1"/>
  <c r="J49" i="19"/>
  <c r="K49" i="19" s="1"/>
  <c r="L49" i="19" s="1"/>
  <c r="M49" i="19" s="1"/>
  <c r="N49" i="19" s="1"/>
  <c r="O49" i="19" s="1"/>
  <c r="J55" i="1"/>
  <c r="K55" i="1" s="1"/>
  <c r="G63" i="1"/>
  <c r="H62" i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D46" i="1"/>
  <c r="K49" i="17" l="1"/>
  <c r="M13" i="17"/>
  <c r="P43" i="19"/>
  <c r="P39" i="19"/>
  <c r="L55" i="1"/>
  <c r="M55" i="1" s="1"/>
  <c r="N55" i="1" s="1"/>
  <c r="P50" i="19"/>
  <c r="P49" i="19"/>
  <c r="H63" i="1"/>
  <c r="I62" i="1"/>
  <c r="P47" i="1"/>
  <c r="D142" i="19"/>
  <c r="D83" i="15" s="1"/>
  <c r="E75" i="19"/>
  <c r="F75" i="19" s="1"/>
  <c r="G75" i="19" s="1"/>
  <c r="H75" i="19" s="1"/>
  <c r="I75" i="19" s="1"/>
  <c r="J75" i="19" s="1"/>
  <c r="K75" i="19" s="1"/>
  <c r="L75" i="19" s="1"/>
  <c r="M75" i="19" s="1"/>
  <c r="N75" i="19" s="1"/>
  <c r="O75" i="19" s="1"/>
  <c r="E76" i="19"/>
  <c r="F76" i="19" s="1"/>
  <c r="G76" i="19" s="1"/>
  <c r="H76" i="19" s="1"/>
  <c r="I76" i="19" s="1"/>
  <c r="J76" i="19" s="1"/>
  <c r="K76" i="19" s="1"/>
  <c r="L76" i="19" s="1"/>
  <c r="M76" i="19" s="1"/>
  <c r="N76" i="19" s="1"/>
  <c r="O76" i="19" s="1"/>
  <c r="M18" i="16"/>
  <c r="L18" i="16"/>
  <c r="I41" i="16"/>
  <c r="H41" i="16"/>
  <c r="G41" i="16"/>
  <c r="P35" i="16"/>
  <c r="O35" i="16"/>
  <c r="N35" i="16"/>
  <c r="M35" i="16"/>
  <c r="L35" i="16"/>
  <c r="K35" i="16"/>
  <c r="S35" i="16" s="1"/>
  <c r="I30" i="16"/>
  <c r="K44" i="16"/>
  <c r="S4" i="16"/>
  <c r="S3" i="16"/>
  <c r="S2" i="16"/>
  <c r="G8" i="16"/>
  <c r="H8" i="16"/>
  <c r="I8" i="16"/>
  <c r="J8" i="16"/>
  <c r="K8" i="16"/>
  <c r="L8" i="16"/>
  <c r="M8" i="16"/>
  <c r="N8" i="16"/>
  <c r="O8" i="16"/>
  <c r="P8" i="16"/>
  <c r="Q8" i="16"/>
  <c r="R8" i="16"/>
  <c r="G9" i="16"/>
  <c r="G48" i="16" s="1"/>
  <c r="H9" i="16"/>
  <c r="I9" i="16"/>
  <c r="J9" i="16"/>
  <c r="K9" i="16"/>
  <c r="L9" i="16"/>
  <c r="M9" i="16"/>
  <c r="N9" i="16"/>
  <c r="O9" i="16"/>
  <c r="P9" i="16"/>
  <c r="Q9" i="16"/>
  <c r="R9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I13" i="16"/>
  <c r="S13" i="16" s="1"/>
  <c r="J13" i="16"/>
  <c r="K13" i="16"/>
  <c r="L13" i="16"/>
  <c r="M13" i="16"/>
  <c r="N13" i="16"/>
  <c r="O13" i="16"/>
  <c r="P13" i="16"/>
  <c r="Q13" i="16"/>
  <c r="R13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H18" i="16"/>
  <c r="S18" i="16" s="1"/>
  <c r="I18" i="16"/>
  <c r="J18" i="16"/>
  <c r="K18" i="16"/>
  <c r="N18" i="16"/>
  <c r="O18" i="16"/>
  <c r="P18" i="16"/>
  <c r="Q18" i="16"/>
  <c r="R18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H25" i="16"/>
  <c r="S25" i="16" s="1"/>
  <c r="I25" i="16"/>
  <c r="J25" i="16"/>
  <c r="K25" i="16"/>
  <c r="L25" i="16"/>
  <c r="M25" i="16"/>
  <c r="N25" i="16"/>
  <c r="O25" i="16"/>
  <c r="P25" i="16"/>
  <c r="Q25" i="16"/>
  <c r="R25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H29" i="16"/>
  <c r="S29" i="16" s="1"/>
  <c r="I29" i="16"/>
  <c r="J29" i="16"/>
  <c r="K29" i="16"/>
  <c r="L29" i="16"/>
  <c r="M29" i="16"/>
  <c r="N29" i="16"/>
  <c r="O29" i="16"/>
  <c r="P29" i="16"/>
  <c r="J30" i="16"/>
  <c r="K30" i="16"/>
  <c r="L30" i="16"/>
  <c r="M30" i="16"/>
  <c r="N30" i="16"/>
  <c r="O30" i="16"/>
  <c r="P30" i="16"/>
  <c r="Q30" i="16"/>
  <c r="R30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G34" i="16"/>
  <c r="H34" i="16"/>
  <c r="I34" i="16"/>
  <c r="J34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G37" i="16"/>
  <c r="H37" i="16"/>
  <c r="I37" i="16"/>
  <c r="J37" i="16"/>
  <c r="K37" i="16"/>
  <c r="L37" i="16"/>
  <c r="M37" i="16"/>
  <c r="N37" i="16"/>
  <c r="O37" i="16"/>
  <c r="P37" i="16"/>
  <c r="H38" i="16"/>
  <c r="S38" i="16" s="1"/>
  <c r="I38" i="16"/>
  <c r="J38" i="16"/>
  <c r="K38" i="16"/>
  <c r="L38" i="16"/>
  <c r="M38" i="16"/>
  <c r="N38" i="16"/>
  <c r="O38" i="16"/>
  <c r="P38" i="16"/>
  <c r="K39" i="16"/>
  <c r="L39" i="16"/>
  <c r="M39" i="16"/>
  <c r="N39" i="16"/>
  <c r="O39" i="16"/>
  <c r="J48" i="16"/>
  <c r="K40" i="16"/>
  <c r="L40" i="16"/>
  <c r="M40" i="16"/>
  <c r="N40" i="16"/>
  <c r="N48" i="16" s="1"/>
  <c r="O40" i="16"/>
  <c r="J41" i="16"/>
  <c r="K41" i="16"/>
  <c r="L41" i="16"/>
  <c r="M41" i="16"/>
  <c r="N41" i="16"/>
  <c r="O41" i="16"/>
  <c r="P41" i="16"/>
  <c r="Q41" i="16"/>
  <c r="R41" i="16"/>
  <c r="R48" i="16" s="1"/>
  <c r="G42" i="16"/>
  <c r="S42" i="16" s="1"/>
  <c r="B33" i="16"/>
  <c r="B13" i="16"/>
  <c r="B11" i="16"/>
  <c r="B10" i="16"/>
  <c r="B12" i="16"/>
  <c r="B9" i="16"/>
  <c r="B6" i="16"/>
  <c r="B7" i="16"/>
  <c r="B8" i="16"/>
  <c r="K38" i="9"/>
  <c r="L38" i="9"/>
  <c r="O34" i="9"/>
  <c r="N34" i="9"/>
  <c r="M34" i="9"/>
  <c r="L34" i="9"/>
  <c r="K34" i="9"/>
  <c r="S34" i="9" s="1"/>
  <c r="O33" i="9"/>
  <c r="N33" i="9"/>
  <c r="M33" i="9"/>
  <c r="L33" i="9"/>
  <c r="K33" i="9"/>
  <c r="S33" i="9" s="1"/>
  <c r="O32" i="9"/>
  <c r="N32" i="9"/>
  <c r="M32" i="9"/>
  <c r="L32" i="9"/>
  <c r="K32" i="9"/>
  <c r="N31" i="9"/>
  <c r="M31" i="9"/>
  <c r="L31" i="9"/>
  <c r="K31" i="9"/>
  <c r="J31" i="9"/>
  <c r="I31" i="9"/>
  <c r="H31" i="9"/>
  <c r="R29" i="9"/>
  <c r="Q29" i="9"/>
  <c r="P29" i="9"/>
  <c r="O29" i="9"/>
  <c r="N29" i="9"/>
  <c r="M29" i="9"/>
  <c r="L29" i="9"/>
  <c r="K29" i="9"/>
  <c r="J29" i="9"/>
  <c r="I29" i="9"/>
  <c r="H29" i="9"/>
  <c r="G29" i="9"/>
  <c r="R28" i="9"/>
  <c r="Q28" i="9"/>
  <c r="P28" i="9"/>
  <c r="O28" i="9"/>
  <c r="N28" i="9"/>
  <c r="M28" i="9"/>
  <c r="L28" i="9"/>
  <c r="K28" i="9"/>
  <c r="J28" i="9"/>
  <c r="I28" i="9"/>
  <c r="H28" i="9"/>
  <c r="G28" i="9"/>
  <c r="R27" i="9"/>
  <c r="Q27" i="9"/>
  <c r="P27" i="9"/>
  <c r="O27" i="9"/>
  <c r="N27" i="9"/>
  <c r="M27" i="9"/>
  <c r="L27" i="9"/>
  <c r="K27" i="9"/>
  <c r="J27" i="9"/>
  <c r="I27" i="9"/>
  <c r="H27" i="9"/>
  <c r="G27" i="9"/>
  <c r="R26" i="9"/>
  <c r="Q26" i="9"/>
  <c r="P26" i="9"/>
  <c r="O26" i="9"/>
  <c r="N26" i="9"/>
  <c r="M26" i="9"/>
  <c r="L26" i="9"/>
  <c r="K26" i="9"/>
  <c r="J26" i="9"/>
  <c r="I26" i="9"/>
  <c r="H26" i="9"/>
  <c r="G26" i="9"/>
  <c r="R25" i="9"/>
  <c r="Q25" i="9"/>
  <c r="P25" i="9"/>
  <c r="O25" i="9"/>
  <c r="N25" i="9"/>
  <c r="M25" i="9"/>
  <c r="L25" i="9"/>
  <c r="K25" i="9"/>
  <c r="J25" i="9"/>
  <c r="I25" i="9"/>
  <c r="H25" i="9"/>
  <c r="G25" i="9"/>
  <c r="R24" i="9"/>
  <c r="Q24" i="9"/>
  <c r="P24" i="9"/>
  <c r="O24" i="9"/>
  <c r="N24" i="9"/>
  <c r="M24" i="9"/>
  <c r="L24" i="9"/>
  <c r="K24" i="9"/>
  <c r="J24" i="9"/>
  <c r="I24" i="9"/>
  <c r="H24" i="9"/>
  <c r="G24" i="9"/>
  <c r="R23" i="9"/>
  <c r="Q23" i="9"/>
  <c r="P23" i="9"/>
  <c r="O23" i="9"/>
  <c r="N23" i="9"/>
  <c r="M23" i="9"/>
  <c r="L23" i="9"/>
  <c r="K23" i="9"/>
  <c r="J23" i="9"/>
  <c r="I23" i="9"/>
  <c r="H23" i="9"/>
  <c r="G23" i="9"/>
  <c r="R22" i="9"/>
  <c r="Q22" i="9"/>
  <c r="P22" i="9"/>
  <c r="O22" i="9"/>
  <c r="N22" i="9"/>
  <c r="M22" i="9"/>
  <c r="L22" i="9"/>
  <c r="K22" i="9"/>
  <c r="J22" i="9"/>
  <c r="I22" i="9"/>
  <c r="H22" i="9"/>
  <c r="G22" i="9"/>
  <c r="R21" i="9"/>
  <c r="Q21" i="9"/>
  <c r="P21" i="9"/>
  <c r="O21" i="9"/>
  <c r="N21" i="9"/>
  <c r="M21" i="9"/>
  <c r="L21" i="9"/>
  <c r="K21" i="9"/>
  <c r="J21" i="9"/>
  <c r="I21" i="9"/>
  <c r="H21" i="9"/>
  <c r="G21" i="9"/>
  <c r="G8" i="9"/>
  <c r="H8" i="9"/>
  <c r="I8" i="9"/>
  <c r="J8" i="9"/>
  <c r="K8" i="9"/>
  <c r="L8" i="9"/>
  <c r="M8" i="9"/>
  <c r="N8" i="9"/>
  <c r="O8" i="9"/>
  <c r="P8" i="9"/>
  <c r="Q8" i="9"/>
  <c r="R8" i="9"/>
  <c r="H13" i="9"/>
  <c r="I13" i="9"/>
  <c r="J13" i="9"/>
  <c r="K13" i="9"/>
  <c r="L13" i="9"/>
  <c r="M13" i="9"/>
  <c r="N13" i="9"/>
  <c r="O13" i="9"/>
  <c r="P13" i="9"/>
  <c r="Q13" i="9"/>
  <c r="R13" i="9"/>
  <c r="H14" i="9"/>
  <c r="I14" i="9"/>
  <c r="J14" i="9"/>
  <c r="K14" i="9"/>
  <c r="L14" i="9"/>
  <c r="M14" i="9"/>
  <c r="N14" i="9"/>
  <c r="O14" i="9"/>
  <c r="P14" i="9"/>
  <c r="Q14" i="9"/>
  <c r="R14" i="9"/>
  <c r="H15" i="9"/>
  <c r="I15" i="9"/>
  <c r="J15" i="9"/>
  <c r="K15" i="9"/>
  <c r="L15" i="9"/>
  <c r="M15" i="9"/>
  <c r="N15" i="9"/>
  <c r="O15" i="9"/>
  <c r="P15" i="9"/>
  <c r="Q15" i="9"/>
  <c r="R15" i="9"/>
  <c r="H18" i="9"/>
  <c r="I18" i="9"/>
  <c r="J18" i="9"/>
  <c r="K18" i="9"/>
  <c r="L18" i="9"/>
  <c r="M18" i="9"/>
  <c r="N18" i="9"/>
  <c r="O18" i="9"/>
  <c r="P18" i="9"/>
  <c r="Q18" i="9"/>
  <c r="R18" i="9"/>
  <c r="H19" i="9"/>
  <c r="I19" i="9"/>
  <c r="J19" i="9"/>
  <c r="K19" i="9"/>
  <c r="L19" i="9"/>
  <c r="M19" i="9"/>
  <c r="N19" i="9"/>
  <c r="O19" i="9"/>
  <c r="P19" i="9"/>
  <c r="Q19" i="9"/>
  <c r="R19" i="9"/>
  <c r="H20" i="9"/>
  <c r="I20" i="9"/>
  <c r="J20" i="9"/>
  <c r="K20" i="9"/>
  <c r="L20" i="9"/>
  <c r="M20" i="9"/>
  <c r="N20" i="9"/>
  <c r="O20" i="9"/>
  <c r="P20" i="9"/>
  <c r="Q20" i="9"/>
  <c r="R20" i="9"/>
  <c r="H30" i="9"/>
  <c r="I30" i="9"/>
  <c r="J30" i="9"/>
  <c r="K30" i="9"/>
  <c r="L30" i="9"/>
  <c r="M30" i="9"/>
  <c r="N30" i="9"/>
  <c r="O30" i="9"/>
  <c r="P30" i="9"/>
  <c r="Q30" i="9"/>
  <c r="R30" i="9"/>
  <c r="G13" i="9"/>
  <c r="G14" i="9"/>
  <c r="G15" i="9"/>
  <c r="G18" i="9"/>
  <c r="G19" i="9"/>
  <c r="G20" i="9"/>
  <c r="G30" i="9"/>
  <c r="B7" i="9"/>
  <c r="L49" i="17" l="1"/>
  <c r="S10" i="16"/>
  <c r="S11" i="16"/>
  <c r="S12" i="16"/>
  <c r="S14" i="16"/>
  <c r="S15" i="16"/>
  <c r="S16" i="16"/>
  <c r="S17" i="16"/>
  <c r="S19" i="16"/>
  <c r="S20" i="16"/>
  <c r="S21" i="16"/>
  <c r="S22" i="16"/>
  <c r="S23" i="16"/>
  <c r="S24" i="16"/>
  <c r="S26" i="16"/>
  <c r="S27" i="16"/>
  <c r="S28" i="16"/>
  <c r="S31" i="16"/>
  <c r="S32" i="16"/>
  <c r="S33" i="16"/>
  <c r="S36" i="16"/>
  <c r="S37" i="16"/>
  <c r="S31" i="9"/>
  <c r="S8" i="16"/>
  <c r="S9" i="16"/>
  <c r="N13" i="17"/>
  <c r="O55" i="1"/>
  <c r="Q48" i="16"/>
  <c r="M48" i="16"/>
  <c r="I48" i="16"/>
  <c r="P48" i="16"/>
  <c r="L48" i="16"/>
  <c r="H48" i="16"/>
  <c r="S40" i="16"/>
  <c r="O48" i="16"/>
  <c r="K48" i="16"/>
  <c r="S39" i="16"/>
  <c r="I63" i="1"/>
  <c r="J62" i="1"/>
  <c r="S41" i="16"/>
  <c r="S30" i="16"/>
  <c r="S34" i="16"/>
  <c r="M38" i="9"/>
  <c r="N38" i="9" s="1"/>
  <c r="O38" i="9" s="1"/>
  <c r="P38" i="9" s="1"/>
  <c r="Q38" i="9" s="1"/>
  <c r="R38" i="9" s="1"/>
  <c r="S21" i="9"/>
  <c r="S22" i="9"/>
  <c r="S23" i="9"/>
  <c r="S24" i="9"/>
  <c r="S25" i="9"/>
  <c r="S26" i="9"/>
  <c r="S27" i="9"/>
  <c r="S28" i="9"/>
  <c r="S29" i="9"/>
  <c r="S32" i="9"/>
  <c r="S8" i="9"/>
  <c r="S30" i="9"/>
  <c r="M49" i="17" l="1"/>
  <c r="O13" i="17"/>
  <c r="P55" i="1"/>
  <c r="J63" i="1"/>
  <c r="K62" i="1"/>
  <c r="L44" i="16"/>
  <c r="E28" i="19"/>
  <c r="F28" i="19" s="1"/>
  <c r="G28" i="19" s="1"/>
  <c r="H28" i="19" s="1"/>
  <c r="I28" i="19" s="1"/>
  <c r="J28" i="19" s="1"/>
  <c r="K28" i="19" s="1"/>
  <c r="L28" i="19" s="1"/>
  <c r="M28" i="19" s="1"/>
  <c r="N28" i="19" s="1"/>
  <c r="O28" i="19" s="1"/>
  <c r="E25" i="19"/>
  <c r="F25" i="19" s="1"/>
  <c r="H25" i="19" s="1"/>
  <c r="J25" i="19" s="1"/>
  <c r="K25" i="19" s="1"/>
  <c r="L25" i="19" s="1"/>
  <c r="N25" i="19" s="1"/>
  <c r="O25" i="19" s="1"/>
  <c r="E23" i="19"/>
  <c r="F23" i="19" s="1"/>
  <c r="G23" i="19" s="1"/>
  <c r="H23" i="19" s="1"/>
  <c r="I23" i="19" s="1"/>
  <c r="J23" i="19" s="1"/>
  <c r="L23" i="19" s="1"/>
  <c r="M23" i="19" s="1"/>
  <c r="N23" i="19" s="1"/>
  <c r="O23" i="19" s="1"/>
  <c r="E22" i="19"/>
  <c r="F22" i="19" s="1"/>
  <c r="G22" i="19" s="1"/>
  <c r="J22" i="19" s="1"/>
  <c r="K22" i="19" s="1"/>
  <c r="M22" i="19" s="1"/>
  <c r="N22" i="19" s="1"/>
  <c r="E21" i="19"/>
  <c r="F21" i="19" s="1"/>
  <c r="G21" i="19" s="1"/>
  <c r="H21" i="19" s="1"/>
  <c r="I21" i="19" s="1"/>
  <c r="J21" i="19" s="1"/>
  <c r="K21" i="19" s="1"/>
  <c r="L21" i="19" s="1"/>
  <c r="M21" i="19" s="1"/>
  <c r="N21" i="19" s="1"/>
  <c r="O21" i="19" s="1"/>
  <c r="K20" i="19"/>
  <c r="L20" i="19" s="1"/>
  <c r="M20" i="19" s="1"/>
  <c r="N20" i="19" s="1"/>
  <c r="O20" i="19" s="1"/>
  <c r="E19" i="19"/>
  <c r="E18" i="19"/>
  <c r="F18" i="19" s="1"/>
  <c r="G18" i="19" s="1"/>
  <c r="K18" i="19" s="1"/>
  <c r="L18" i="19" s="1"/>
  <c r="M18" i="19" s="1"/>
  <c r="O18" i="19" s="1"/>
  <c r="E17" i="19"/>
  <c r="F17" i="19" s="1"/>
  <c r="G17" i="19" s="1"/>
  <c r="K17" i="19" s="1"/>
  <c r="O17" i="19" s="1"/>
  <c r="E16" i="19"/>
  <c r="F16" i="19" s="1"/>
  <c r="G16" i="19" s="1"/>
  <c r="H16" i="19" s="1"/>
  <c r="I16" i="19" s="1"/>
  <c r="J16" i="19" s="1"/>
  <c r="K16" i="19" s="1"/>
  <c r="N16" i="19" s="1"/>
  <c r="O16" i="19" s="1"/>
  <c r="G15" i="19"/>
  <c r="G14" i="19"/>
  <c r="I14" i="19" s="1"/>
  <c r="J14" i="19" s="1"/>
  <c r="K14" i="19" s="1"/>
  <c r="L14" i="19" s="1"/>
  <c r="N66" i="16"/>
  <c r="O66" i="16" s="1"/>
  <c r="N71" i="16"/>
  <c r="O64" i="16"/>
  <c r="P64" i="16" s="1"/>
  <c r="Q64" i="16" s="1"/>
  <c r="R64" i="16" s="1"/>
  <c r="R71" i="16" s="1"/>
  <c r="L64" i="16"/>
  <c r="M64" i="16" s="1"/>
  <c r="M71" i="16" s="1"/>
  <c r="J64" i="16"/>
  <c r="J72" i="16"/>
  <c r="G72" i="16"/>
  <c r="G71" i="16"/>
  <c r="S63" i="16"/>
  <c r="H65" i="16"/>
  <c r="B12" i="10"/>
  <c r="B11" i="10"/>
  <c r="B10" i="10"/>
  <c r="B9" i="10"/>
  <c r="D96" i="11"/>
  <c r="G72" i="11"/>
  <c r="L68" i="11"/>
  <c r="N49" i="17" l="1"/>
  <c r="G19" i="19"/>
  <c r="E6" i="19"/>
  <c r="H72" i="16"/>
  <c r="I65" i="16"/>
  <c r="I72" i="16" s="1"/>
  <c r="M44" i="16"/>
  <c r="I19" i="19"/>
  <c r="G6" i="19"/>
  <c r="H19" i="19"/>
  <c r="H6" i="19" s="1"/>
  <c r="P13" i="17"/>
  <c r="K63" i="1"/>
  <c r="L62" i="1"/>
  <c r="P71" i="16"/>
  <c r="S64" i="16"/>
  <c r="Q71" i="16"/>
  <c r="O71" i="16"/>
  <c r="N60" i="16"/>
  <c r="O49" i="17" l="1"/>
  <c r="P49" i="17" s="1"/>
  <c r="I6" i="19"/>
  <c r="K19" i="19"/>
  <c r="N44" i="16"/>
  <c r="L63" i="1"/>
  <c r="M62" i="1"/>
  <c r="O60" i="16"/>
  <c r="L19" i="19" l="1"/>
  <c r="K6" i="19"/>
  <c r="O44" i="16"/>
  <c r="M63" i="1"/>
  <c r="N62" i="1"/>
  <c r="P60" i="16"/>
  <c r="D61" i="11"/>
  <c r="D60" i="11"/>
  <c r="D59" i="11"/>
  <c r="D58" i="11"/>
  <c r="S4" i="10"/>
  <c r="S3" i="10"/>
  <c r="S2" i="10"/>
  <c r="I16" i="10"/>
  <c r="H16" i="10"/>
  <c r="G16" i="10"/>
  <c r="B7" i="10"/>
  <c r="C7" i="10"/>
  <c r="C6" i="10"/>
  <c r="B6" i="10"/>
  <c r="B14" i="18"/>
  <c r="D19" i="17"/>
  <c r="B3" i="18"/>
  <c r="B4" i="18"/>
  <c r="B19" i="18"/>
  <c r="E21" i="18"/>
  <c r="I21" i="18" s="1"/>
  <c r="J21" i="18" s="1"/>
  <c r="E20" i="18"/>
  <c r="E19" i="18" s="1"/>
  <c r="I19" i="18" s="1"/>
  <c r="J19" i="18" s="1"/>
  <c r="B18" i="18"/>
  <c r="D33" i="17"/>
  <c r="D34" i="17" s="1"/>
  <c r="L6" i="19" l="1"/>
  <c r="M19" i="19"/>
  <c r="B8" i="18"/>
  <c r="P44" i="16"/>
  <c r="N63" i="1"/>
  <c r="O62" i="1"/>
  <c r="I20" i="18"/>
  <c r="J20" i="18" s="1"/>
  <c r="N19" i="19" l="1"/>
  <c r="M6" i="19"/>
  <c r="Q44" i="16"/>
  <c r="O63" i="1"/>
  <c r="P62" i="1"/>
  <c r="D15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N6" i="19" l="1"/>
  <c r="O19" i="19"/>
  <c r="O6" i="19" s="1"/>
  <c r="R44" i="16"/>
  <c r="P63" i="1"/>
  <c r="E61" i="1"/>
  <c r="F61" i="1" s="1"/>
  <c r="G61" i="1" s="1"/>
  <c r="H61" i="1" s="1"/>
  <c r="I61" i="1" s="1"/>
  <c r="J61" i="1" s="1"/>
  <c r="K61" i="1" s="1"/>
  <c r="L61" i="1" s="1"/>
  <c r="E15" i="1"/>
  <c r="F15" i="1" s="1"/>
  <c r="B6" i="9"/>
  <c r="B5" i="9"/>
  <c r="C7" i="9"/>
  <c r="S3" i="9"/>
  <c r="S2" i="9"/>
  <c r="S1" i="9"/>
  <c r="G15" i="1" l="1"/>
  <c r="H15" i="1" l="1"/>
  <c r="M73" i="16"/>
  <c r="N73" i="16"/>
  <c r="O73" i="16"/>
  <c r="E138" i="1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E138" i="19"/>
  <c r="E110" i="20"/>
  <c r="F110" i="20"/>
  <c r="G110" i="20"/>
  <c r="H110" i="20"/>
  <c r="I110" i="20"/>
  <c r="J110" i="20"/>
  <c r="K110" i="20"/>
  <c r="L110" i="20"/>
  <c r="M110" i="20"/>
  <c r="N110" i="20"/>
  <c r="O110" i="20"/>
  <c r="N86" i="16"/>
  <c r="O86" i="16" s="1"/>
  <c r="P86" i="16" s="1"/>
  <c r="Q86" i="16" s="1"/>
  <c r="R86" i="16" s="1"/>
  <c r="E24" i="19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1"/>
  <c r="P23" i="11"/>
  <c r="E27" i="19"/>
  <c r="F27" i="19" s="1"/>
  <c r="G27" i="19" s="1"/>
  <c r="H27" i="19" s="1"/>
  <c r="I27" i="19" s="1"/>
  <c r="J27" i="19" s="1"/>
  <c r="K27" i="19" s="1"/>
  <c r="L27" i="19" s="1"/>
  <c r="M27" i="19" s="1"/>
  <c r="N27" i="19" s="1"/>
  <c r="O27" i="19" s="1"/>
  <c r="E137" i="20" l="1"/>
  <c r="I15" i="1"/>
  <c r="F138" i="19"/>
  <c r="C154" i="16"/>
  <c r="B154" i="16"/>
  <c r="C142" i="16"/>
  <c r="B142" i="16"/>
  <c r="C143" i="16" s="1"/>
  <c r="G123" i="16"/>
  <c r="B116" i="16"/>
  <c r="C114" i="16"/>
  <c r="B114" i="16"/>
  <c r="J15" i="1" l="1"/>
  <c r="G138" i="19"/>
  <c r="F137" i="20"/>
  <c r="D144" i="20"/>
  <c r="D140" i="20"/>
  <c r="D139" i="20"/>
  <c r="D138" i="20"/>
  <c r="D137" i="20"/>
  <c r="D136" i="20"/>
  <c r="D132" i="20"/>
  <c r="D128" i="20"/>
  <c r="D124" i="20"/>
  <c r="D123" i="20"/>
  <c r="D122" i="20"/>
  <c r="D118" i="20"/>
  <c r="D117" i="20"/>
  <c r="D116" i="20"/>
  <c r="D115" i="20"/>
  <c r="D111" i="20"/>
  <c r="D110" i="20"/>
  <c r="D109" i="20"/>
  <c r="D108" i="20"/>
  <c r="D104" i="20"/>
  <c r="D103" i="20"/>
  <c r="D101" i="20"/>
  <c r="D100" i="20"/>
  <c r="D102" i="20"/>
  <c r="K15" i="1" l="1"/>
  <c r="G137" i="20"/>
  <c r="H138" i="19"/>
  <c r="D96" i="20"/>
  <c r="D94" i="20"/>
  <c r="D93" i="20"/>
  <c r="D89" i="20"/>
  <c r="D81" i="20"/>
  <c r="D82" i="20"/>
  <c r="D83" i="20"/>
  <c r="D84" i="20"/>
  <c r="D85" i="20"/>
  <c r="D80" i="20"/>
  <c r="M66" i="20"/>
  <c r="N66" i="20"/>
  <c r="O66" i="20"/>
  <c r="E68" i="20"/>
  <c r="F68" i="20"/>
  <c r="G68" i="20"/>
  <c r="H68" i="20"/>
  <c r="I68" i="20"/>
  <c r="J68" i="20"/>
  <c r="K68" i="20"/>
  <c r="L68" i="20"/>
  <c r="M68" i="20"/>
  <c r="N68" i="20"/>
  <c r="O68" i="20"/>
  <c r="E69" i="20"/>
  <c r="F69" i="20"/>
  <c r="G69" i="20"/>
  <c r="H69" i="20"/>
  <c r="I69" i="20"/>
  <c r="J69" i="20"/>
  <c r="K69" i="20"/>
  <c r="L69" i="20"/>
  <c r="M69" i="20"/>
  <c r="N69" i="20"/>
  <c r="O69" i="20"/>
  <c r="E70" i="20"/>
  <c r="F70" i="20"/>
  <c r="G70" i="20"/>
  <c r="H70" i="20"/>
  <c r="I70" i="20"/>
  <c r="J70" i="20"/>
  <c r="K70" i="20"/>
  <c r="L70" i="20"/>
  <c r="M70" i="20"/>
  <c r="N70" i="20"/>
  <c r="O70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64" i="20"/>
  <c r="D79" i="19"/>
  <c r="D33" i="15" s="1"/>
  <c r="O76" i="20"/>
  <c r="P77" i="11"/>
  <c r="D53" i="20"/>
  <c r="D54" i="20" s="1"/>
  <c r="D45" i="20"/>
  <c r="D43" i="20"/>
  <c r="E36" i="20"/>
  <c r="F36" i="20"/>
  <c r="G36" i="20"/>
  <c r="H36" i="20"/>
  <c r="I36" i="20"/>
  <c r="J36" i="20"/>
  <c r="K36" i="20"/>
  <c r="L36" i="20"/>
  <c r="M36" i="20"/>
  <c r="N36" i="20"/>
  <c r="O36" i="20"/>
  <c r="E37" i="20"/>
  <c r="F37" i="20"/>
  <c r="G37" i="20"/>
  <c r="H37" i="20"/>
  <c r="I37" i="20"/>
  <c r="J37" i="20"/>
  <c r="K37" i="20"/>
  <c r="L37" i="20"/>
  <c r="M37" i="20"/>
  <c r="N37" i="20"/>
  <c r="O37" i="20"/>
  <c r="D34" i="20"/>
  <c r="D36" i="20"/>
  <c r="D37" i="20"/>
  <c r="E14" i="20"/>
  <c r="F14" i="20"/>
  <c r="G14" i="20"/>
  <c r="H14" i="20"/>
  <c r="I14" i="20"/>
  <c r="J14" i="20"/>
  <c r="K14" i="20"/>
  <c r="L14" i="20"/>
  <c r="M14" i="20"/>
  <c r="N14" i="20"/>
  <c r="O14" i="20"/>
  <c r="E23" i="20"/>
  <c r="F23" i="20"/>
  <c r="G23" i="20"/>
  <c r="H23" i="20"/>
  <c r="I23" i="20"/>
  <c r="J23" i="20"/>
  <c r="K23" i="20"/>
  <c r="L23" i="20"/>
  <c r="M23" i="20"/>
  <c r="N23" i="20"/>
  <c r="O23" i="20"/>
  <c r="D23" i="20"/>
  <c r="D14" i="20"/>
  <c r="D156" i="20"/>
  <c r="E155" i="20"/>
  <c r="E154" i="20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E153" i="20"/>
  <c r="E152" i="20"/>
  <c r="F152" i="20" s="1"/>
  <c r="D145" i="20"/>
  <c r="E144" i="20"/>
  <c r="E145" i="20" s="1"/>
  <c r="D141" i="20"/>
  <c r="D133" i="20"/>
  <c r="D129" i="20"/>
  <c r="D125" i="20"/>
  <c r="D119" i="20"/>
  <c r="D112" i="20"/>
  <c r="P110" i="20"/>
  <c r="D105" i="20"/>
  <c r="F13" i="19"/>
  <c r="G13" i="19"/>
  <c r="H13" i="19"/>
  <c r="I13" i="19"/>
  <c r="J13" i="19"/>
  <c r="K13" i="19"/>
  <c r="L13" i="19"/>
  <c r="M13" i="19"/>
  <c r="N13" i="19"/>
  <c r="O13" i="19"/>
  <c r="E15" i="20"/>
  <c r="F15" i="20"/>
  <c r="O15" i="20"/>
  <c r="E16" i="20"/>
  <c r="F16" i="20"/>
  <c r="O16" i="20"/>
  <c r="O17" i="20"/>
  <c r="E20" i="19"/>
  <c r="E19" i="20" s="1"/>
  <c r="F20" i="19"/>
  <c r="F19" i="20" s="1"/>
  <c r="G20" i="19"/>
  <c r="G19" i="20" s="1"/>
  <c r="H19" i="20"/>
  <c r="I19" i="20"/>
  <c r="J19" i="20"/>
  <c r="K19" i="20"/>
  <c r="L19" i="20"/>
  <c r="M19" i="20"/>
  <c r="N19" i="20"/>
  <c r="O19" i="20"/>
  <c r="E20" i="20"/>
  <c r="O20" i="20"/>
  <c r="J22" i="20"/>
  <c r="K22" i="20"/>
  <c r="L22" i="20"/>
  <c r="M22" i="20"/>
  <c r="N22" i="20"/>
  <c r="O22" i="20"/>
  <c r="O24" i="20"/>
  <c r="D20" i="20"/>
  <c r="D17" i="20"/>
  <c r="D16" i="20"/>
  <c r="D15" i="20"/>
  <c r="E12" i="19"/>
  <c r="F12" i="19" s="1"/>
  <c r="H73" i="16"/>
  <c r="I73" i="16"/>
  <c r="J73" i="16"/>
  <c r="K73" i="16"/>
  <c r="L73" i="16"/>
  <c r="P73" i="16"/>
  <c r="G73" i="16"/>
  <c r="Q66" i="16"/>
  <c r="H70" i="16"/>
  <c r="H74" i="16" s="1"/>
  <c r="I70" i="16"/>
  <c r="I74" i="16" s="1"/>
  <c r="J70" i="16"/>
  <c r="J74" i="16" s="1"/>
  <c r="K70" i="16"/>
  <c r="K74" i="16" s="1"/>
  <c r="L70" i="16"/>
  <c r="M70" i="16"/>
  <c r="N70" i="16"/>
  <c r="O70" i="16"/>
  <c r="P70" i="16"/>
  <c r="Q70" i="16"/>
  <c r="R70" i="16"/>
  <c r="G70" i="16"/>
  <c r="M72" i="16"/>
  <c r="O72" i="16"/>
  <c r="L72" i="16"/>
  <c r="M74" i="16" l="1"/>
  <c r="G74" i="16"/>
  <c r="G12" i="19"/>
  <c r="H12" i="19" s="1"/>
  <c r="I12" i="19" s="1"/>
  <c r="J12" i="19" s="1"/>
  <c r="K12" i="19" s="1"/>
  <c r="L12" i="19" s="1"/>
  <c r="M12" i="19" s="1"/>
  <c r="N12" i="19" s="1"/>
  <c r="O12" i="19" s="1"/>
  <c r="O74" i="16"/>
  <c r="R66" i="16"/>
  <c r="R73" i="16" s="1"/>
  <c r="L74" i="16"/>
  <c r="D86" i="20"/>
  <c r="L15" i="1"/>
  <c r="D77" i="20"/>
  <c r="D95" i="20"/>
  <c r="D97" i="20" s="1"/>
  <c r="D57" i="20"/>
  <c r="K76" i="20"/>
  <c r="G76" i="20"/>
  <c r="Q73" i="16"/>
  <c r="D58" i="20"/>
  <c r="N76" i="20"/>
  <c r="J76" i="20"/>
  <c r="F76" i="20"/>
  <c r="E156" i="20"/>
  <c r="D59" i="20"/>
  <c r="M76" i="20"/>
  <c r="I76" i="20"/>
  <c r="E76" i="20"/>
  <c r="D60" i="20"/>
  <c r="L76" i="20"/>
  <c r="H76" i="20"/>
  <c r="I138" i="19"/>
  <c r="H137" i="20"/>
  <c r="D90" i="20"/>
  <c r="P14" i="20"/>
  <c r="P36" i="20"/>
  <c r="P23" i="20"/>
  <c r="P37" i="20"/>
  <c r="F144" i="20"/>
  <c r="G144" i="20" s="1"/>
  <c r="G145" i="20" s="1"/>
  <c r="P69" i="20"/>
  <c r="G152" i="20"/>
  <c r="F155" i="20"/>
  <c r="G155" i="20" s="1"/>
  <c r="H155" i="20" s="1"/>
  <c r="I155" i="20" s="1"/>
  <c r="J155" i="20" s="1"/>
  <c r="K155" i="20" s="1"/>
  <c r="L155" i="20" s="1"/>
  <c r="M155" i="20" s="1"/>
  <c r="N155" i="20" s="1"/>
  <c r="O155" i="20" s="1"/>
  <c r="F153" i="20"/>
  <c r="G153" i="20" s="1"/>
  <c r="H153" i="20" s="1"/>
  <c r="I153" i="20" s="1"/>
  <c r="J153" i="20" s="1"/>
  <c r="K153" i="20" s="1"/>
  <c r="L153" i="20" s="1"/>
  <c r="M153" i="20" s="1"/>
  <c r="N153" i="20" s="1"/>
  <c r="O153" i="20" s="1"/>
  <c r="P154" i="20"/>
  <c r="S70" i="16"/>
  <c r="S73" i="16" l="1"/>
  <c r="S66" i="16"/>
  <c r="P76" i="20"/>
  <c r="M15" i="1"/>
  <c r="H144" i="20"/>
  <c r="H145" i="20" s="1"/>
  <c r="P155" i="20"/>
  <c r="D61" i="20"/>
  <c r="I137" i="20"/>
  <c r="J138" i="19"/>
  <c r="F145" i="20"/>
  <c r="P68" i="20"/>
  <c r="F156" i="20"/>
  <c r="P70" i="20"/>
  <c r="G156" i="20"/>
  <c r="H152" i="20"/>
  <c r="P153" i="20"/>
  <c r="I144" i="20"/>
  <c r="N15" i="1" l="1"/>
  <c r="D147" i="20"/>
  <c r="K138" i="19"/>
  <c r="J137" i="20"/>
  <c r="I145" i="20"/>
  <c r="J144" i="20"/>
  <c r="H156" i="20"/>
  <c r="I152" i="20"/>
  <c r="O15" i="1" l="1"/>
  <c r="K137" i="20"/>
  <c r="L138" i="19"/>
  <c r="I156" i="20"/>
  <c r="J152" i="20"/>
  <c r="K144" i="20"/>
  <c r="J145" i="20"/>
  <c r="P7" i="1" l="1"/>
  <c r="L137" i="20"/>
  <c r="M138" i="19"/>
  <c r="J156" i="20"/>
  <c r="K152" i="20"/>
  <c r="K145" i="20"/>
  <c r="L144" i="20"/>
  <c r="N138" i="19" l="1"/>
  <c r="M137" i="20"/>
  <c r="M144" i="20"/>
  <c r="L145" i="20"/>
  <c r="K156" i="20"/>
  <c r="L152" i="20"/>
  <c r="O138" i="19" l="1"/>
  <c r="O137" i="20" s="1"/>
  <c r="N137" i="20"/>
  <c r="L156" i="20"/>
  <c r="M152" i="20"/>
  <c r="M145" i="20"/>
  <c r="N144" i="20"/>
  <c r="P137" i="20" l="1"/>
  <c r="O144" i="20"/>
  <c r="N145" i="20"/>
  <c r="M156" i="20"/>
  <c r="N152" i="20"/>
  <c r="O145" i="20" l="1"/>
  <c r="P144" i="20"/>
  <c r="N156" i="20"/>
  <c r="O152" i="20"/>
  <c r="O156" i="20" s="1"/>
  <c r="P152" i="20" l="1"/>
  <c r="P145" i="20"/>
  <c r="P156" i="20" l="1"/>
  <c r="G83" i="16" l="1"/>
  <c r="D19" i="20" s="1"/>
  <c r="P19" i="20" s="1"/>
  <c r="E13" i="19"/>
  <c r="D13" i="19"/>
  <c r="O101" i="16"/>
  <c r="N101" i="16"/>
  <c r="M101" i="16"/>
  <c r="M103" i="16" s="1"/>
  <c r="L101" i="16"/>
  <c r="L82" i="16" s="1"/>
  <c r="K101" i="16"/>
  <c r="P85" i="16" s="1"/>
  <c r="I101" i="16"/>
  <c r="M79" i="16" s="1"/>
  <c r="J15" i="20" s="1"/>
  <c r="N79" i="16" l="1"/>
  <c r="K15" i="20" s="1"/>
  <c r="L79" i="16"/>
  <c r="I15" i="20" s="1"/>
  <c r="P79" i="16"/>
  <c r="M15" i="20" s="1"/>
  <c r="K79" i="16"/>
  <c r="H15" i="20" s="1"/>
  <c r="O79" i="16"/>
  <c r="L15" i="20" s="1"/>
  <c r="J79" i="16"/>
  <c r="G15" i="20" s="1"/>
  <c r="S83" i="16"/>
  <c r="M85" i="16"/>
  <c r="Q85" i="16"/>
  <c r="O82" i="16"/>
  <c r="K82" i="16"/>
  <c r="N85" i="16"/>
  <c r="H82" i="16"/>
  <c r="N82" i="16"/>
  <c r="J82" i="16"/>
  <c r="J86" i="16"/>
  <c r="G22" i="20" s="1"/>
  <c r="K86" i="16"/>
  <c r="H22" i="20" s="1"/>
  <c r="H86" i="16"/>
  <c r="E22" i="20" s="1"/>
  <c r="L86" i="16"/>
  <c r="I22" i="20" s="1"/>
  <c r="I86" i="16"/>
  <c r="F22" i="20" s="1"/>
  <c r="G86" i="16"/>
  <c r="Q79" i="16"/>
  <c r="N15" i="20" s="1"/>
  <c r="K85" i="16"/>
  <c r="O85" i="16"/>
  <c r="Q82" i="16"/>
  <c r="M82" i="16"/>
  <c r="I82" i="16"/>
  <c r="I84" i="16"/>
  <c r="K84" i="16"/>
  <c r="H20" i="20" s="1"/>
  <c r="O84" i="16"/>
  <c r="L20" i="20" s="1"/>
  <c r="L84" i="16"/>
  <c r="I20" i="20" s="1"/>
  <c r="P84" i="16"/>
  <c r="M20" i="20" s="1"/>
  <c r="M84" i="16"/>
  <c r="J20" i="20" s="1"/>
  <c r="Q84" i="16"/>
  <c r="N20" i="20" s="1"/>
  <c r="J84" i="16"/>
  <c r="G20" i="20" s="1"/>
  <c r="N84" i="16"/>
  <c r="K20" i="20" s="1"/>
  <c r="L85" i="16"/>
  <c r="P82" i="16"/>
  <c r="J101" i="16"/>
  <c r="H100" i="16"/>
  <c r="H99" i="16"/>
  <c r="G101" i="16"/>
  <c r="G103" i="16" s="1"/>
  <c r="C101" i="16"/>
  <c r="C103" i="16" s="1"/>
  <c r="P72" i="16"/>
  <c r="P74" i="16" s="1"/>
  <c r="G69" i="16"/>
  <c r="N72" i="16"/>
  <c r="N74" i="16" s="1"/>
  <c r="T69" i="16"/>
  <c r="S60" i="16"/>
  <c r="U60" i="16" s="1"/>
  <c r="H101" i="16" l="1"/>
  <c r="P15" i="20"/>
  <c r="P69" i="16"/>
  <c r="S61" i="16"/>
  <c r="U61" i="16" s="1"/>
  <c r="O69" i="16"/>
  <c r="N80" i="16"/>
  <c r="K16" i="20" s="1"/>
  <c r="J80" i="16"/>
  <c r="K80" i="16"/>
  <c r="H16" i="20" s="1"/>
  <c r="O80" i="16"/>
  <c r="L16" i="20" s="1"/>
  <c r="P80" i="16"/>
  <c r="M16" i="20" s="1"/>
  <c r="L80" i="16"/>
  <c r="I16" i="20" s="1"/>
  <c r="M80" i="16"/>
  <c r="J16" i="20" s="1"/>
  <c r="Q80" i="16"/>
  <c r="N16" i="20" s="1"/>
  <c r="H88" i="16"/>
  <c r="E24" i="20" s="1"/>
  <c r="L88" i="16"/>
  <c r="I24" i="20" s="1"/>
  <c r="P88" i="16"/>
  <c r="M24" i="20" s="1"/>
  <c r="I88" i="16"/>
  <c r="F24" i="20" s="1"/>
  <c r="M88" i="16"/>
  <c r="J24" i="20" s="1"/>
  <c r="Q88" i="16"/>
  <c r="N24" i="20" s="1"/>
  <c r="J88" i="16"/>
  <c r="G24" i="20" s="1"/>
  <c r="N88" i="16"/>
  <c r="K24" i="20" s="1"/>
  <c r="G88" i="16"/>
  <c r="K88" i="16"/>
  <c r="H24" i="20" s="1"/>
  <c r="O88" i="16"/>
  <c r="L24" i="20" s="1"/>
  <c r="S85" i="16"/>
  <c r="S86" i="16"/>
  <c r="D22" i="20"/>
  <c r="P22" i="20" s="1"/>
  <c r="S82" i="16"/>
  <c r="L81" i="16"/>
  <c r="I17" i="20" s="1"/>
  <c r="P81" i="16"/>
  <c r="M17" i="20" s="1"/>
  <c r="I81" i="16"/>
  <c r="F17" i="20" s="1"/>
  <c r="M81" i="16"/>
  <c r="J17" i="20" s="1"/>
  <c r="Q81" i="16"/>
  <c r="N17" i="20" s="1"/>
  <c r="J81" i="16"/>
  <c r="G17" i="20" s="1"/>
  <c r="N81" i="16"/>
  <c r="K17" i="20" s="1"/>
  <c r="H81" i="16"/>
  <c r="K81" i="16"/>
  <c r="H17" i="20" s="1"/>
  <c r="O81" i="16"/>
  <c r="L17" i="20" s="1"/>
  <c r="F20" i="20"/>
  <c r="P20" i="20" s="1"/>
  <c r="S84" i="16"/>
  <c r="S79" i="16"/>
  <c r="H69" i="16"/>
  <c r="Q72" i="16"/>
  <c r="Q74" i="16" s="1"/>
  <c r="G16" i="20" l="1"/>
  <c r="P16" i="20" s="1"/>
  <c r="S80" i="16"/>
  <c r="E17" i="20"/>
  <c r="P17" i="20" s="1"/>
  <c r="S81" i="16"/>
  <c r="U64" i="16"/>
  <c r="S88" i="16"/>
  <c r="I69" i="16"/>
  <c r="S65" i="16"/>
  <c r="U65" i="16" s="1"/>
  <c r="Q69" i="16"/>
  <c r="U63" i="16"/>
  <c r="P25" i="19" l="1"/>
  <c r="D24" i="20"/>
  <c r="P24" i="20" s="1"/>
  <c r="R69" i="16"/>
  <c r="R72" i="16"/>
  <c r="R74" i="16" s="1"/>
  <c r="J69" i="16"/>
  <c r="S72" i="16" l="1"/>
  <c r="K69" i="16"/>
  <c r="L69" i="16" l="1"/>
  <c r="N69" i="16" l="1"/>
  <c r="M69" i="16"/>
  <c r="S62" i="16"/>
  <c r="D158" i="19"/>
  <c r="D98" i="15" s="1"/>
  <c r="E157" i="19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E156" i="19"/>
  <c r="F156" i="19" s="1"/>
  <c r="G156" i="19" s="1"/>
  <c r="H156" i="19" s="1"/>
  <c r="E155" i="19"/>
  <c r="E153" i="19"/>
  <c r="F153" i="19" s="1"/>
  <c r="G153" i="19" s="1"/>
  <c r="D146" i="19"/>
  <c r="D88" i="15" s="1"/>
  <c r="E145" i="19"/>
  <c r="E146" i="19" s="1"/>
  <c r="E88" i="15" s="1"/>
  <c r="E141" i="19"/>
  <c r="E140" i="19"/>
  <c r="E139" i="19"/>
  <c r="P138" i="19"/>
  <c r="E137" i="19"/>
  <c r="E142" i="19" s="1"/>
  <c r="E83" i="15" s="1"/>
  <c r="D134" i="19"/>
  <c r="D78" i="15" s="1"/>
  <c r="E133" i="19"/>
  <c r="D130" i="19"/>
  <c r="D73" i="15" s="1"/>
  <c r="E129" i="19"/>
  <c r="D126" i="19"/>
  <c r="D68" i="15" s="1"/>
  <c r="E125" i="19"/>
  <c r="F125" i="19" s="1"/>
  <c r="G125" i="19" s="1"/>
  <c r="H125" i="19" s="1"/>
  <c r="I125" i="19" s="1"/>
  <c r="J125" i="19" s="1"/>
  <c r="K125" i="19" s="1"/>
  <c r="L125" i="19" s="1"/>
  <c r="M125" i="19" s="1"/>
  <c r="N125" i="19" s="1"/>
  <c r="O125" i="19" s="1"/>
  <c r="E124" i="19"/>
  <c r="E126" i="19" s="1"/>
  <c r="E68" i="15" s="1"/>
  <c r="D121" i="19"/>
  <c r="D63" i="15" s="1"/>
  <c r="E120" i="19"/>
  <c r="E119" i="19"/>
  <c r="E118" i="19"/>
  <c r="E117" i="19"/>
  <c r="E121" i="19" s="1"/>
  <c r="E63" i="15" s="1"/>
  <c r="D114" i="19"/>
  <c r="D58" i="15" s="1"/>
  <c r="E113" i="19"/>
  <c r="P112" i="19"/>
  <c r="E111" i="19"/>
  <c r="E110" i="19"/>
  <c r="E114" i="19" s="1"/>
  <c r="E58" i="15" s="1"/>
  <c r="D107" i="19"/>
  <c r="D53" i="15" s="1"/>
  <c r="E106" i="19"/>
  <c r="E105" i="19"/>
  <c r="E104" i="19"/>
  <c r="E103" i="19"/>
  <c r="E102" i="19"/>
  <c r="D99" i="19"/>
  <c r="D48" i="15" s="1"/>
  <c r="E98" i="19"/>
  <c r="E97" i="19"/>
  <c r="E96" i="19"/>
  <c r="E95" i="19"/>
  <c r="D92" i="19"/>
  <c r="D43" i="15" s="1"/>
  <c r="E91" i="19"/>
  <c r="E92" i="19" s="1"/>
  <c r="E43" i="15" s="1"/>
  <c r="D88" i="19"/>
  <c r="D38" i="15" s="1"/>
  <c r="E87" i="19"/>
  <c r="E86" i="19"/>
  <c r="E85" i="19"/>
  <c r="E84" i="19"/>
  <c r="E83" i="19"/>
  <c r="E82" i="19"/>
  <c r="E77" i="19"/>
  <c r="E74" i="19"/>
  <c r="E73" i="19"/>
  <c r="E79" i="19" s="1"/>
  <c r="E33" i="15" s="1"/>
  <c r="D70" i="19"/>
  <c r="D28" i="15" s="1"/>
  <c r="E69" i="19"/>
  <c r="E67" i="19"/>
  <c r="E66" i="19"/>
  <c r="E70" i="19" s="1"/>
  <c r="E28" i="15" s="1"/>
  <c r="E63" i="19"/>
  <c r="D60" i="19"/>
  <c r="D23" i="15" s="1"/>
  <c r="E59" i="19"/>
  <c r="F59" i="19" s="1"/>
  <c r="F60" i="19" s="1"/>
  <c r="F23" i="15" s="1"/>
  <c r="E51" i="19"/>
  <c r="E47" i="19"/>
  <c r="E36" i="19"/>
  <c r="F36" i="19" s="1"/>
  <c r="P28" i="19"/>
  <c r="P27" i="19"/>
  <c r="P26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E83" i="11"/>
  <c r="P21" i="11"/>
  <c r="P20" i="11"/>
  <c r="P18" i="11"/>
  <c r="P17" i="11"/>
  <c r="P16" i="11"/>
  <c r="P15" i="11"/>
  <c r="P11" i="11"/>
  <c r="F13" i="11"/>
  <c r="F12" i="20" s="1"/>
  <c r="G13" i="11"/>
  <c r="G12" i="20" s="1"/>
  <c r="H13" i="11"/>
  <c r="H12" i="20" s="1"/>
  <c r="I13" i="11"/>
  <c r="I12" i="20" s="1"/>
  <c r="J13" i="11"/>
  <c r="J12" i="20" s="1"/>
  <c r="K13" i="11"/>
  <c r="K12" i="20" s="1"/>
  <c r="L13" i="11"/>
  <c r="L12" i="20" s="1"/>
  <c r="M13" i="11"/>
  <c r="M12" i="20" s="1"/>
  <c r="N13" i="11"/>
  <c r="N12" i="20" s="1"/>
  <c r="O13" i="11"/>
  <c r="O12" i="20" s="1"/>
  <c r="E46" i="11"/>
  <c r="E107" i="19" l="1"/>
  <c r="E53" i="15" s="1"/>
  <c r="E88" i="19"/>
  <c r="E38" i="15" s="1"/>
  <c r="E99" i="19"/>
  <c r="E48" i="15" s="1"/>
  <c r="E148" i="19"/>
  <c r="F69" i="19"/>
  <c r="F72" i="20"/>
  <c r="E72" i="20"/>
  <c r="F83" i="19"/>
  <c r="F86" i="19"/>
  <c r="F98" i="19"/>
  <c r="F104" i="19"/>
  <c r="F110" i="19"/>
  <c r="F120" i="19"/>
  <c r="F63" i="19"/>
  <c r="G63" i="19" s="1"/>
  <c r="F77" i="19"/>
  <c r="E74" i="20"/>
  <c r="F84" i="19"/>
  <c r="E82" i="20"/>
  <c r="F105" i="19"/>
  <c r="G105" i="19" s="1"/>
  <c r="F111" i="19"/>
  <c r="F117" i="19"/>
  <c r="F121" i="19" s="1"/>
  <c r="F63" i="15" s="1"/>
  <c r="E64" i="20"/>
  <c r="F96" i="19"/>
  <c r="G96" i="19" s="1"/>
  <c r="F106" i="19"/>
  <c r="F107" i="19" s="1"/>
  <c r="F53" i="15" s="1"/>
  <c r="F118" i="19"/>
  <c r="F140" i="19"/>
  <c r="F67" i="19"/>
  <c r="F74" i="19"/>
  <c r="F65" i="20" s="1"/>
  <c r="E65" i="20"/>
  <c r="F85" i="19"/>
  <c r="G85" i="19" s="1"/>
  <c r="F97" i="19"/>
  <c r="F113" i="19"/>
  <c r="F119" i="19"/>
  <c r="G119" i="19" s="1"/>
  <c r="F137" i="19"/>
  <c r="F142" i="19" s="1"/>
  <c r="F83" i="15" s="1"/>
  <c r="F141" i="19"/>
  <c r="F133" i="19"/>
  <c r="G133" i="19" s="1"/>
  <c r="S71" i="16"/>
  <c r="S69" i="16"/>
  <c r="U62" i="16"/>
  <c r="F145" i="19"/>
  <c r="F146" i="19" s="1"/>
  <c r="F88" i="15" s="1"/>
  <c r="F91" i="19"/>
  <c r="F92" i="19" s="1"/>
  <c r="F43" i="15" s="1"/>
  <c r="E45" i="20"/>
  <c r="F46" i="11"/>
  <c r="F82" i="19"/>
  <c r="E60" i="19"/>
  <c r="E23" i="15" s="1"/>
  <c r="I156" i="19"/>
  <c r="J156" i="19" s="1"/>
  <c r="K156" i="19" s="1"/>
  <c r="L156" i="19" s="1"/>
  <c r="M156" i="19" s="1"/>
  <c r="N156" i="19" s="1"/>
  <c r="O156" i="19" s="1"/>
  <c r="P12" i="19"/>
  <c r="F47" i="19"/>
  <c r="F103" i="19"/>
  <c r="F129" i="19"/>
  <c r="E130" i="19"/>
  <c r="E73" i="15" s="1"/>
  <c r="G36" i="19"/>
  <c r="F51" i="19"/>
  <c r="G51" i="19" s="1"/>
  <c r="H51" i="19" s="1"/>
  <c r="I51" i="19" s="1"/>
  <c r="J51" i="19" s="1"/>
  <c r="K51" i="19" s="1"/>
  <c r="L51" i="19" s="1"/>
  <c r="M51" i="19" s="1"/>
  <c r="N51" i="19" s="1"/>
  <c r="O51" i="19" s="1"/>
  <c r="G59" i="19"/>
  <c r="F102" i="19"/>
  <c r="H153" i="19"/>
  <c r="F73" i="19"/>
  <c r="F79" i="19" s="1"/>
  <c r="F33" i="15" s="1"/>
  <c r="P157" i="19"/>
  <c r="F155" i="19"/>
  <c r="E158" i="19"/>
  <c r="E98" i="15" s="1"/>
  <c r="F66" i="19"/>
  <c r="P75" i="19"/>
  <c r="F87" i="19"/>
  <c r="F124" i="19"/>
  <c r="F126" i="19" s="1"/>
  <c r="F68" i="15" s="1"/>
  <c r="F95" i="19"/>
  <c r="D148" i="19"/>
  <c r="P125" i="19"/>
  <c r="E134" i="19"/>
  <c r="E78" i="15" s="1"/>
  <c r="F139" i="19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G110" i="19" l="1"/>
  <c r="G114" i="19" s="1"/>
  <c r="G58" i="15" s="1"/>
  <c r="F114" i="19"/>
  <c r="F58" i="15" s="1"/>
  <c r="F88" i="19"/>
  <c r="F38" i="15" s="1"/>
  <c r="F99" i="19"/>
  <c r="F48" i="15" s="1"/>
  <c r="F70" i="19"/>
  <c r="F28" i="15" s="1"/>
  <c r="F134" i="19"/>
  <c r="F78" i="15" s="1"/>
  <c r="G137" i="19"/>
  <c r="G74" i="19"/>
  <c r="H74" i="19" s="1"/>
  <c r="G87" i="19"/>
  <c r="G97" i="19"/>
  <c r="G67" i="19"/>
  <c r="G118" i="19"/>
  <c r="H85" i="19"/>
  <c r="G66" i="19"/>
  <c r="H105" i="19"/>
  <c r="G113" i="19"/>
  <c r="G111" i="19"/>
  <c r="G77" i="19"/>
  <c r="F74" i="20"/>
  <c r="G120" i="19"/>
  <c r="G104" i="19"/>
  <c r="G86" i="19"/>
  <c r="H96" i="19"/>
  <c r="F64" i="20"/>
  <c r="G103" i="19"/>
  <c r="P156" i="19"/>
  <c r="G141" i="19"/>
  <c r="G140" i="19"/>
  <c r="G106" i="19"/>
  <c r="G107" i="19" s="1"/>
  <c r="G53" i="15" s="1"/>
  <c r="G72" i="20"/>
  <c r="G117" i="19"/>
  <c r="G121" i="19" s="1"/>
  <c r="G63" i="15" s="1"/>
  <c r="G84" i="19"/>
  <c r="F82" i="20"/>
  <c r="G98" i="19"/>
  <c r="G83" i="19"/>
  <c r="G69" i="19"/>
  <c r="G145" i="19"/>
  <c r="G91" i="19"/>
  <c r="G92" i="19" s="1"/>
  <c r="G43" i="15" s="1"/>
  <c r="F45" i="20"/>
  <c r="G46" i="11"/>
  <c r="G82" i="19"/>
  <c r="G95" i="19"/>
  <c r="H36" i="19"/>
  <c r="G73" i="19"/>
  <c r="G79" i="19" s="1"/>
  <c r="G33" i="15" s="1"/>
  <c r="H110" i="19"/>
  <c r="H133" i="19"/>
  <c r="G134" i="19"/>
  <c r="G78" i="15" s="1"/>
  <c r="G124" i="19"/>
  <c r="G126" i="19" s="1"/>
  <c r="G68" i="15" s="1"/>
  <c r="G155" i="19"/>
  <c r="F158" i="19"/>
  <c r="F98" i="15" s="1"/>
  <c r="I153" i="19"/>
  <c r="P51" i="19"/>
  <c r="G47" i="19"/>
  <c r="H119" i="19"/>
  <c r="G139" i="19"/>
  <c r="G129" i="19"/>
  <c r="F130" i="19"/>
  <c r="F73" i="15" s="1"/>
  <c r="H59" i="19"/>
  <c r="G60" i="19"/>
  <c r="G23" i="15" s="1"/>
  <c r="G102" i="19"/>
  <c r="P76" i="19"/>
  <c r="H63" i="19"/>
  <c r="P83" i="11"/>
  <c r="H49" i="10"/>
  <c r="E13" i="11"/>
  <c r="E12" i="20" s="1"/>
  <c r="H137" i="19" l="1"/>
  <c r="G142" i="19"/>
  <c r="G83" i="15" s="1"/>
  <c r="F148" i="19"/>
  <c r="G88" i="19"/>
  <c r="G38" i="15" s="1"/>
  <c r="H145" i="19"/>
  <c r="H146" i="19" s="1"/>
  <c r="H88" i="15" s="1"/>
  <c r="G146" i="19"/>
  <c r="G88" i="15" s="1"/>
  <c r="G99" i="19"/>
  <c r="G48" i="15" s="1"/>
  <c r="G70" i="19"/>
  <c r="G28" i="15" s="1"/>
  <c r="G65" i="20"/>
  <c r="H83" i="19"/>
  <c r="H140" i="19"/>
  <c r="I96" i="19"/>
  <c r="H104" i="19"/>
  <c r="H77" i="19"/>
  <c r="G74" i="20"/>
  <c r="H118" i="19"/>
  <c r="H97" i="19"/>
  <c r="I74" i="19"/>
  <c r="H65" i="20"/>
  <c r="H117" i="19"/>
  <c r="H121" i="19" s="1"/>
  <c r="H63" i="15" s="1"/>
  <c r="H72" i="20"/>
  <c r="I137" i="19"/>
  <c r="I105" i="19"/>
  <c r="I85" i="19"/>
  <c r="G64" i="20"/>
  <c r="H69" i="19"/>
  <c r="H98" i="19"/>
  <c r="H84" i="19"/>
  <c r="G82" i="20"/>
  <c r="H106" i="19"/>
  <c r="H141" i="19"/>
  <c r="H86" i="19"/>
  <c r="H120" i="19"/>
  <c r="H111" i="19"/>
  <c r="H114" i="19" s="1"/>
  <c r="H58" i="15" s="1"/>
  <c r="H113" i="19"/>
  <c r="H67" i="19"/>
  <c r="S39" i="10"/>
  <c r="D13" i="11"/>
  <c r="H82" i="19"/>
  <c r="I82" i="19" s="1"/>
  <c r="H103" i="19"/>
  <c r="H66" i="19"/>
  <c r="H87" i="19"/>
  <c r="H91" i="19"/>
  <c r="H92" i="19" s="1"/>
  <c r="H43" i="15" s="1"/>
  <c r="H46" i="11"/>
  <c r="G45" i="20"/>
  <c r="I110" i="19"/>
  <c r="I63" i="19"/>
  <c r="H102" i="19"/>
  <c r="I59" i="19"/>
  <c r="H60" i="19"/>
  <c r="H23" i="15" s="1"/>
  <c r="I145" i="19"/>
  <c r="I146" i="19" s="1"/>
  <c r="I88" i="15" s="1"/>
  <c r="H155" i="19"/>
  <c r="G158" i="19"/>
  <c r="G98" i="15" s="1"/>
  <c r="H134" i="19"/>
  <c r="H78" i="15" s="1"/>
  <c r="I133" i="19"/>
  <c r="H139" i="19"/>
  <c r="I36" i="19"/>
  <c r="H129" i="19"/>
  <c r="G130" i="19"/>
  <c r="G73" i="15" s="1"/>
  <c r="I119" i="19"/>
  <c r="H47" i="19"/>
  <c r="J153" i="19"/>
  <c r="H124" i="19"/>
  <c r="H126" i="19" s="1"/>
  <c r="H68" i="15" s="1"/>
  <c r="H73" i="19"/>
  <c r="H79" i="19" s="1"/>
  <c r="H33" i="15" s="1"/>
  <c r="H95" i="19"/>
  <c r="E70" i="17"/>
  <c r="E61" i="17"/>
  <c r="H142" i="19" l="1"/>
  <c r="H83" i="15" s="1"/>
  <c r="H88" i="19"/>
  <c r="H38" i="15" s="1"/>
  <c r="H107" i="19"/>
  <c r="H53" i="15" s="1"/>
  <c r="G148" i="19"/>
  <c r="H99" i="19"/>
  <c r="H48" i="15" s="1"/>
  <c r="H70" i="19"/>
  <c r="H28" i="15" s="1"/>
  <c r="I66" i="19"/>
  <c r="I87" i="19"/>
  <c r="I103" i="19"/>
  <c r="D12" i="20"/>
  <c r="P12" i="20" s="1"/>
  <c r="P13" i="11"/>
  <c r="I67" i="19"/>
  <c r="I120" i="19"/>
  <c r="I84" i="19"/>
  <c r="H82" i="20"/>
  <c r="J137" i="19"/>
  <c r="I117" i="19"/>
  <c r="I121" i="19" s="1"/>
  <c r="I63" i="15" s="1"/>
  <c r="I118" i="19"/>
  <c r="J96" i="19"/>
  <c r="I113" i="19"/>
  <c r="I141" i="19"/>
  <c r="I69" i="19"/>
  <c r="F61" i="17"/>
  <c r="G61" i="17" s="1"/>
  <c r="H61" i="17" s="1"/>
  <c r="I61" i="17" s="1"/>
  <c r="J61" i="17" s="1"/>
  <c r="K61" i="17" s="1"/>
  <c r="L61" i="17" s="1"/>
  <c r="M61" i="17" s="1"/>
  <c r="N61" i="17" s="1"/>
  <c r="O61" i="17" s="1"/>
  <c r="I111" i="19"/>
  <c r="I114" i="19" s="1"/>
  <c r="I58" i="15" s="1"/>
  <c r="I106" i="19"/>
  <c r="J105" i="19"/>
  <c r="I97" i="19"/>
  <c r="I72" i="20"/>
  <c r="J74" i="19"/>
  <c r="I65" i="20"/>
  <c r="I104" i="19"/>
  <c r="I83" i="19"/>
  <c r="H64" i="20"/>
  <c r="I86" i="19"/>
  <c r="I98" i="19"/>
  <c r="J85" i="19"/>
  <c r="I77" i="19"/>
  <c r="H74" i="20"/>
  <c r="I140" i="19"/>
  <c r="I91" i="19"/>
  <c r="I92" i="19" s="1"/>
  <c r="I43" i="15" s="1"/>
  <c r="H45" i="20"/>
  <c r="I46" i="11"/>
  <c r="K153" i="19"/>
  <c r="J82" i="19"/>
  <c r="J36" i="19"/>
  <c r="J59" i="19"/>
  <c r="I60" i="19"/>
  <c r="I23" i="15" s="1"/>
  <c r="I124" i="19"/>
  <c r="I126" i="19" s="1"/>
  <c r="I68" i="15" s="1"/>
  <c r="I139" i="19"/>
  <c r="I142" i="19" s="1"/>
  <c r="I83" i="15" s="1"/>
  <c r="I155" i="19"/>
  <c r="H158" i="19"/>
  <c r="H98" i="15" s="1"/>
  <c r="I95" i="19"/>
  <c r="I47" i="19"/>
  <c r="J110" i="19"/>
  <c r="H130" i="19"/>
  <c r="H73" i="15" s="1"/>
  <c r="I129" i="19"/>
  <c r="J63" i="19"/>
  <c r="I73" i="19"/>
  <c r="I79" i="19" s="1"/>
  <c r="I33" i="15" s="1"/>
  <c r="I134" i="19"/>
  <c r="I78" i="15" s="1"/>
  <c r="J133" i="19"/>
  <c r="J145" i="19"/>
  <c r="J146" i="19" s="1"/>
  <c r="J88" i="15" s="1"/>
  <c r="J119" i="19"/>
  <c r="I102" i="19"/>
  <c r="F70" i="17"/>
  <c r="G70" i="17" s="1"/>
  <c r="H70" i="17" s="1"/>
  <c r="I70" i="17" s="1"/>
  <c r="J70" i="17" s="1"/>
  <c r="K70" i="17" s="1"/>
  <c r="L70" i="17" s="1"/>
  <c r="M70" i="17" s="1"/>
  <c r="N70" i="17" s="1"/>
  <c r="O70" i="17" s="1"/>
  <c r="E51" i="17"/>
  <c r="E50" i="17"/>
  <c r="E52" i="17" s="1"/>
  <c r="I14" i="18"/>
  <c r="I2" i="18"/>
  <c r="G2" i="18"/>
  <c r="E2" i="18"/>
  <c r="H6" i="18"/>
  <c r="I6" i="18" s="1"/>
  <c r="F6" i="18"/>
  <c r="G6" i="18" s="1"/>
  <c r="D6" i="18"/>
  <c r="E6" i="18" s="1"/>
  <c r="H5" i="18"/>
  <c r="I5" i="18" s="1"/>
  <c r="F5" i="18"/>
  <c r="G5" i="18" s="1"/>
  <c r="D5" i="18"/>
  <c r="E5" i="18" s="1"/>
  <c r="H4" i="18"/>
  <c r="I4" i="18" s="1"/>
  <c r="F4" i="18"/>
  <c r="G4" i="18" s="1"/>
  <c r="D4" i="18"/>
  <c r="E4" i="18" s="1"/>
  <c r="G3" i="18"/>
  <c r="E22" i="17"/>
  <c r="F22" i="17" s="1"/>
  <c r="G22" i="17" s="1"/>
  <c r="H22" i="17" s="1"/>
  <c r="I22" i="17" s="1"/>
  <c r="J22" i="17" s="1"/>
  <c r="K22" i="17" s="1"/>
  <c r="L22" i="17" s="1"/>
  <c r="M22" i="17" s="1"/>
  <c r="N22" i="17" s="1"/>
  <c r="O22" i="17" s="1"/>
  <c r="E20" i="17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E19" i="17"/>
  <c r="E17" i="17"/>
  <c r="F17" i="17" s="1"/>
  <c r="E39" i="17"/>
  <c r="F39" i="17" s="1"/>
  <c r="G39" i="17" s="1"/>
  <c r="H39" i="17" s="1"/>
  <c r="I39" i="17" s="1"/>
  <c r="J39" i="17" s="1"/>
  <c r="K39" i="17" s="1"/>
  <c r="L39" i="17" s="1"/>
  <c r="M39" i="17" s="1"/>
  <c r="N39" i="17" s="1"/>
  <c r="O39" i="17" s="1"/>
  <c r="E28" i="17"/>
  <c r="D87" i="17"/>
  <c r="E86" i="17"/>
  <c r="D81" i="17"/>
  <c r="E80" i="17"/>
  <c r="D77" i="17"/>
  <c r="E76" i="17"/>
  <c r="F76" i="17" s="1"/>
  <c r="D73" i="17"/>
  <c r="E72" i="17"/>
  <c r="F72" i="17" s="1"/>
  <c r="G72" i="17" s="1"/>
  <c r="H72" i="17" s="1"/>
  <c r="E71" i="17"/>
  <c r="F71" i="17" s="1"/>
  <c r="G71" i="17" s="1"/>
  <c r="H71" i="17" s="1"/>
  <c r="I71" i="17" s="1"/>
  <c r="J71" i="17" s="1"/>
  <c r="K71" i="17" s="1"/>
  <c r="L71" i="17" s="1"/>
  <c r="M71" i="17" s="1"/>
  <c r="N71" i="17" s="1"/>
  <c r="O71" i="17" s="1"/>
  <c r="E69" i="17"/>
  <c r="F69" i="17" s="1"/>
  <c r="G69" i="17" s="1"/>
  <c r="D66" i="17"/>
  <c r="E65" i="17"/>
  <c r="F65" i="17" s="1"/>
  <c r="G65" i="17" s="1"/>
  <c r="H65" i="17" s="1"/>
  <c r="I65" i="17" s="1"/>
  <c r="J65" i="17" s="1"/>
  <c r="K65" i="17" s="1"/>
  <c r="L65" i="17" s="1"/>
  <c r="M65" i="17" s="1"/>
  <c r="N65" i="17" s="1"/>
  <c r="O65" i="17" s="1"/>
  <c r="E64" i="17"/>
  <c r="F64" i="17" s="1"/>
  <c r="G64" i="17" s="1"/>
  <c r="H64" i="17" s="1"/>
  <c r="I64" i="17" s="1"/>
  <c r="J64" i="17" s="1"/>
  <c r="K64" i="17" s="1"/>
  <c r="L64" i="17" s="1"/>
  <c r="M64" i="17" s="1"/>
  <c r="N64" i="17" s="1"/>
  <c r="O64" i="17" s="1"/>
  <c r="E63" i="17"/>
  <c r="F63" i="17" s="1"/>
  <c r="G63" i="17" s="1"/>
  <c r="H63" i="17" s="1"/>
  <c r="I63" i="17" s="1"/>
  <c r="J63" i="17" s="1"/>
  <c r="K63" i="17" s="1"/>
  <c r="L63" i="17" s="1"/>
  <c r="M63" i="17" s="1"/>
  <c r="N63" i="17" s="1"/>
  <c r="O63" i="17" s="1"/>
  <c r="E62" i="17"/>
  <c r="F62" i="17" s="1"/>
  <c r="G62" i="17" s="1"/>
  <c r="H62" i="17" s="1"/>
  <c r="I62" i="17" s="1"/>
  <c r="J62" i="17" s="1"/>
  <c r="K62" i="17" s="1"/>
  <c r="L62" i="17" s="1"/>
  <c r="M62" i="17" s="1"/>
  <c r="N62" i="17" s="1"/>
  <c r="O62" i="17" s="1"/>
  <c r="D58" i="17"/>
  <c r="E57" i="17"/>
  <c r="F57" i="17" s="1"/>
  <c r="G57" i="17" s="1"/>
  <c r="H57" i="17" s="1"/>
  <c r="I57" i="17" s="1"/>
  <c r="J57" i="17" s="1"/>
  <c r="K57" i="17" s="1"/>
  <c r="L57" i="17" s="1"/>
  <c r="M57" i="17" s="1"/>
  <c r="N57" i="17" s="1"/>
  <c r="O57" i="17" s="1"/>
  <c r="E56" i="17"/>
  <c r="F56" i="17" s="1"/>
  <c r="G56" i="17" s="1"/>
  <c r="H56" i="17" s="1"/>
  <c r="I56" i="17" s="1"/>
  <c r="J56" i="17" s="1"/>
  <c r="K56" i="17" s="1"/>
  <c r="L56" i="17" s="1"/>
  <c r="M56" i="17" s="1"/>
  <c r="N56" i="17" s="1"/>
  <c r="O56" i="17" s="1"/>
  <c r="E55" i="17"/>
  <c r="E41" i="17"/>
  <c r="F41" i="17" s="1"/>
  <c r="G41" i="17" s="1"/>
  <c r="H41" i="17" s="1"/>
  <c r="I41" i="17" s="1"/>
  <c r="J41" i="17" s="1"/>
  <c r="K41" i="17" s="1"/>
  <c r="L41" i="17" s="1"/>
  <c r="M41" i="17" s="1"/>
  <c r="N41" i="17" s="1"/>
  <c r="O41" i="17" s="1"/>
  <c r="E40" i="17"/>
  <c r="F40" i="17" s="1"/>
  <c r="G40" i="17" s="1"/>
  <c r="H40" i="17" s="1"/>
  <c r="I40" i="17" s="1"/>
  <c r="J40" i="17" s="1"/>
  <c r="K40" i="17" s="1"/>
  <c r="L40" i="17" s="1"/>
  <c r="M40" i="17" s="1"/>
  <c r="N40" i="17" s="1"/>
  <c r="O40" i="17" s="1"/>
  <c r="E38" i="17"/>
  <c r="E33" i="17"/>
  <c r="F33" i="17" s="1"/>
  <c r="G33" i="17" s="1"/>
  <c r="H33" i="17" s="1"/>
  <c r="I33" i="17" s="1"/>
  <c r="J33" i="17" s="1"/>
  <c r="P31" i="17"/>
  <c r="I70" i="19" l="1"/>
  <c r="I28" i="15" s="1"/>
  <c r="I107" i="19"/>
  <c r="I53" i="15" s="1"/>
  <c r="I88" i="19"/>
  <c r="I38" i="15" s="1"/>
  <c r="I99" i="19"/>
  <c r="I48" i="15" s="1"/>
  <c r="H148" i="19"/>
  <c r="J6" i="18"/>
  <c r="G17" i="17"/>
  <c r="H17" i="17" s="1"/>
  <c r="J5" i="18"/>
  <c r="K33" i="17"/>
  <c r="L33" i="17" s="1"/>
  <c r="M33" i="17" s="1"/>
  <c r="N33" i="17" s="1"/>
  <c r="O33" i="17" s="1"/>
  <c r="J34" i="17"/>
  <c r="E34" i="17"/>
  <c r="J2" i="18"/>
  <c r="J4" i="18"/>
  <c r="K85" i="19"/>
  <c r="J98" i="19"/>
  <c r="J83" i="19"/>
  <c r="J141" i="19"/>
  <c r="J118" i="19"/>
  <c r="J103" i="19"/>
  <c r="J66" i="19"/>
  <c r="J77" i="19"/>
  <c r="I74" i="20"/>
  <c r="J72" i="20"/>
  <c r="J106" i="19"/>
  <c r="J117" i="19"/>
  <c r="J121" i="19" s="1"/>
  <c r="J63" i="15" s="1"/>
  <c r="K137" i="19"/>
  <c r="J120" i="19"/>
  <c r="I64" i="20"/>
  <c r="J104" i="19"/>
  <c r="K74" i="19"/>
  <c r="J65" i="20"/>
  <c r="J69" i="19"/>
  <c r="J113" i="19"/>
  <c r="K96" i="19"/>
  <c r="E3" i="18"/>
  <c r="J140" i="19"/>
  <c r="J86" i="19"/>
  <c r="J97" i="19"/>
  <c r="K105" i="19"/>
  <c r="J111" i="19"/>
  <c r="J114" i="19" s="1"/>
  <c r="J58" i="15" s="1"/>
  <c r="P61" i="17"/>
  <c r="J84" i="19"/>
  <c r="I82" i="20"/>
  <c r="J67" i="19"/>
  <c r="J87" i="19"/>
  <c r="J91" i="19"/>
  <c r="J92" i="19" s="1"/>
  <c r="J43" i="15" s="1"/>
  <c r="I45" i="20"/>
  <c r="J46" i="11"/>
  <c r="K145" i="19"/>
  <c r="K146" i="19" s="1"/>
  <c r="K88" i="15" s="1"/>
  <c r="J73" i="19"/>
  <c r="J79" i="19" s="1"/>
  <c r="J33" i="15" s="1"/>
  <c r="J129" i="19"/>
  <c r="I130" i="19"/>
  <c r="I73" i="15" s="1"/>
  <c r="J47" i="19"/>
  <c r="J95" i="19"/>
  <c r="K110" i="19"/>
  <c r="J155" i="19"/>
  <c r="I158" i="19"/>
  <c r="I98" i="15" s="1"/>
  <c r="J102" i="19"/>
  <c r="K119" i="19"/>
  <c r="K63" i="19"/>
  <c r="J139" i="19"/>
  <c r="J142" i="19" s="1"/>
  <c r="J83" i="15" s="1"/>
  <c r="K82" i="19"/>
  <c r="J60" i="19"/>
  <c r="J23" i="15" s="1"/>
  <c r="K59" i="19"/>
  <c r="L153" i="19"/>
  <c r="K133" i="19"/>
  <c r="J134" i="19"/>
  <c r="J78" i="15" s="1"/>
  <c r="J124" i="19"/>
  <c r="J126" i="19" s="1"/>
  <c r="J68" i="15" s="1"/>
  <c r="K36" i="19"/>
  <c r="P70" i="17"/>
  <c r="F51" i="17"/>
  <c r="G51" i="17" s="1"/>
  <c r="H51" i="17" s="1"/>
  <c r="I51" i="17" s="1"/>
  <c r="J51" i="17" s="1"/>
  <c r="K51" i="17" s="1"/>
  <c r="L51" i="17" s="1"/>
  <c r="M51" i="17" s="1"/>
  <c r="N51" i="17" s="1"/>
  <c r="O51" i="17" s="1"/>
  <c r="F50" i="17"/>
  <c r="G8" i="18"/>
  <c r="I3" i="18"/>
  <c r="I8" i="18" s="1"/>
  <c r="G14" i="18"/>
  <c r="E14" i="18"/>
  <c r="P22" i="17"/>
  <c r="E18" i="17"/>
  <c r="F18" i="17" s="1"/>
  <c r="G18" i="17" s="1"/>
  <c r="H18" i="17" s="1"/>
  <c r="I18" i="17" s="1"/>
  <c r="J18" i="17" s="1"/>
  <c r="K18" i="17" s="1"/>
  <c r="L18" i="17" s="1"/>
  <c r="M18" i="17" s="1"/>
  <c r="N18" i="17" s="1"/>
  <c r="O18" i="17" s="1"/>
  <c r="P20" i="17"/>
  <c r="F19" i="17"/>
  <c r="G19" i="17" s="1"/>
  <c r="H19" i="17" s="1"/>
  <c r="I19" i="17" s="1"/>
  <c r="J19" i="17" s="1"/>
  <c r="K19" i="17" s="1"/>
  <c r="L19" i="17" s="1"/>
  <c r="M19" i="17" s="1"/>
  <c r="N19" i="17" s="1"/>
  <c r="O19" i="17" s="1"/>
  <c r="P71" i="17"/>
  <c r="E81" i="17"/>
  <c r="P62" i="17"/>
  <c r="F30" i="17"/>
  <c r="F32" i="17" s="1"/>
  <c r="P41" i="17"/>
  <c r="P57" i="17"/>
  <c r="P63" i="17"/>
  <c r="E42" i="17"/>
  <c r="F38" i="17"/>
  <c r="P40" i="17"/>
  <c r="P33" i="17"/>
  <c r="G76" i="17"/>
  <c r="F77" i="17"/>
  <c r="F86" i="17"/>
  <c r="G86" i="17" s="1"/>
  <c r="H86" i="17" s="1"/>
  <c r="I86" i="17" s="1"/>
  <c r="J86" i="17" s="1"/>
  <c r="K86" i="17" s="1"/>
  <c r="L86" i="17" s="1"/>
  <c r="M86" i="17" s="1"/>
  <c r="N86" i="17" s="1"/>
  <c r="O86" i="17" s="1"/>
  <c r="E87" i="17"/>
  <c r="D30" i="17"/>
  <c r="P56" i="17"/>
  <c r="P65" i="17"/>
  <c r="I72" i="17"/>
  <c r="J72" i="17" s="1"/>
  <c r="K72" i="17" s="1"/>
  <c r="L72" i="17" s="1"/>
  <c r="M72" i="17" s="1"/>
  <c r="N72" i="17" s="1"/>
  <c r="O72" i="17" s="1"/>
  <c r="E30" i="17"/>
  <c r="E66" i="17"/>
  <c r="H69" i="17"/>
  <c r="E58" i="17"/>
  <c r="P64" i="17"/>
  <c r="F80" i="17"/>
  <c r="G80" i="17" s="1"/>
  <c r="H80" i="17" s="1"/>
  <c r="I80" i="17" s="1"/>
  <c r="J80" i="17" s="1"/>
  <c r="K80" i="17" s="1"/>
  <c r="L80" i="17" s="1"/>
  <c r="M80" i="17" s="1"/>
  <c r="N80" i="17" s="1"/>
  <c r="O80" i="17" s="1"/>
  <c r="E73" i="17"/>
  <c r="F55" i="17"/>
  <c r="E77" i="17"/>
  <c r="K16" i="10"/>
  <c r="L16" i="10"/>
  <c r="M16" i="10"/>
  <c r="N16" i="10"/>
  <c r="O16" i="10"/>
  <c r="P16" i="10"/>
  <c r="Q16" i="10"/>
  <c r="R16" i="10"/>
  <c r="J16" i="10"/>
  <c r="G38" i="10"/>
  <c r="D26" i="11" s="1"/>
  <c r="H30" i="10"/>
  <c r="I30" i="10" s="1"/>
  <c r="H29" i="10"/>
  <c r="H37" i="10" s="1"/>
  <c r="E19" i="11" s="1"/>
  <c r="E18" i="20" s="1"/>
  <c r="I29" i="10"/>
  <c r="I37" i="10" s="1"/>
  <c r="F19" i="11" s="1"/>
  <c r="F18" i="20" s="1"/>
  <c r="J29" i="10"/>
  <c r="J37" i="10" s="1"/>
  <c r="G19" i="11" s="1"/>
  <c r="G18" i="20" s="1"/>
  <c r="K29" i="10"/>
  <c r="K37" i="10" s="1"/>
  <c r="H19" i="11" s="1"/>
  <c r="H18" i="20" s="1"/>
  <c r="L29" i="10"/>
  <c r="L37" i="10" s="1"/>
  <c r="I19" i="11" s="1"/>
  <c r="I18" i="20" s="1"/>
  <c r="M29" i="10"/>
  <c r="M37" i="10" s="1"/>
  <c r="J19" i="11" s="1"/>
  <c r="J18" i="20" s="1"/>
  <c r="N29" i="10"/>
  <c r="N37" i="10" s="1"/>
  <c r="K19" i="11" s="1"/>
  <c r="K18" i="20" s="1"/>
  <c r="O29" i="10"/>
  <c r="O37" i="10" s="1"/>
  <c r="L19" i="11" s="1"/>
  <c r="L18" i="20" s="1"/>
  <c r="P29" i="10"/>
  <c r="P37" i="10" s="1"/>
  <c r="M19" i="11" s="1"/>
  <c r="M18" i="20" s="1"/>
  <c r="Q29" i="10"/>
  <c r="Q37" i="10" s="1"/>
  <c r="N19" i="11" s="1"/>
  <c r="N18" i="20" s="1"/>
  <c r="R29" i="10"/>
  <c r="R37" i="10" s="1"/>
  <c r="O19" i="11" s="1"/>
  <c r="O18" i="20" s="1"/>
  <c r="G29" i="10"/>
  <c r="G37" i="10" s="1"/>
  <c r="D19" i="11" s="1"/>
  <c r="I6" i="10"/>
  <c r="R7" i="16"/>
  <c r="Q7" i="16"/>
  <c r="P7" i="16"/>
  <c r="O7" i="16"/>
  <c r="N7" i="16"/>
  <c r="M7" i="16"/>
  <c r="L7" i="16"/>
  <c r="K7" i="16"/>
  <c r="J7" i="16"/>
  <c r="I7" i="16"/>
  <c r="H7" i="16"/>
  <c r="G7" i="16"/>
  <c r="R6" i="16"/>
  <c r="P6" i="16"/>
  <c r="N6" i="16"/>
  <c r="L6" i="16"/>
  <c r="J6" i="16"/>
  <c r="H6" i="16"/>
  <c r="H6" i="10"/>
  <c r="N6" i="10"/>
  <c r="P6" i="10"/>
  <c r="H7" i="10"/>
  <c r="I7" i="10"/>
  <c r="J7" i="10"/>
  <c r="K7" i="10"/>
  <c r="L7" i="10"/>
  <c r="M7" i="10"/>
  <c r="N7" i="10"/>
  <c r="O7" i="10"/>
  <c r="P7" i="10"/>
  <c r="Q7" i="10"/>
  <c r="R7" i="10"/>
  <c r="H9" i="10"/>
  <c r="I9" i="10"/>
  <c r="J9" i="10"/>
  <c r="K9" i="10"/>
  <c r="L9" i="10"/>
  <c r="M9" i="10"/>
  <c r="N9" i="10"/>
  <c r="O9" i="10"/>
  <c r="P9" i="10"/>
  <c r="Q9" i="10"/>
  <c r="R9" i="10"/>
  <c r="H10" i="10"/>
  <c r="I10" i="10"/>
  <c r="J10" i="10"/>
  <c r="K10" i="10"/>
  <c r="L10" i="10"/>
  <c r="M10" i="10"/>
  <c r="N10" i="10"/>
  <c r="O10" i="10"/>
  <c r="P10" i="10"/>
  <c r="Q10" i="10"/>
  <c r="R10" i="10"/>
  <c r="H11" i="10"/>
  <c r="I11" i="10"/>
  <c r="J11" i="10"/>
  <c r="K11" i="10"/>
  <c r="L11" i="10"/>
  <c r="M11" i="10"/>
  <c r="N11" i="10"/>
  <c r="O11" i="10"/>
  <c r="P11" i="10"/>
  <c r="Q11" i="10"/>
  <c r="R11" i="10"/>
  <c r="H12" i="10"/>
  <c r="I12" i="10"/>
  <c r="J12" i="10"/>
  <c r="K12" i="10"/>
  <c r="L12" i="10"/>
  <c r="M12" i="10"/>
  <c r="N12" i="10"/>
  <c r="O12" i="10"/>
  <c r="P12" i="10"/>
  <c r="Q12" i="10"/>
  <c r="R12" i="10"/>
  <c r="G7" i="10"/>
  <c r="G9" i="10"/>
  <c r="G10" i="10"/>
  <c r="G11" i="10"/>
  <c r="G12" i="10"/>
  <c r="I148" i="19" l="1"/>
  <c r="J107" i="19"/>
  <c r="J53" i="15" s="1"/>
  <c r="J88" i="19"/>
  <c r="J38" i="15" s="1"/>
  <c r="G50" i="17"/>
  <c r="F52" i="17"/>
  <c r="R49" i="16"/>
  <c r="R45" i="16"/>
  <c r="P49" i="16"/>
  <c r="P45" i="16"/>
  <c r="N49" i="16"/>
  <c r="N45" i="16"/>
  <c r="L49" i="16"/>
  <c r="L45" i="16"/>
  <c r="J45" i="16"/>
  <c r="J49" i="16"/>
  <c r="H49" i="16"/>
  <c r="H45" i="16"/>
  <c r="J99" i="19"/>
  <c r="J48" i="15" s="1"/>
  <c r="J70" i="19"/>
  <c r="J28" i="15" s="1"/>
  <c r="K52" i="16"/>
  <c r="I17" i="17"/>
  <c r="J17" i="17" s="1"/>
  <c r="K17" i="17" s="1"/>
  <c r="I24" i="10"/>
  <c r="G28" i="17"/>
  <c r="F34" i="17"/>
  <c r="F35" i="17" s="1"/>
  <c r="N52" i="16"/>
  <c r="R52" i="16"/>
  <c r="H52" i="16"/>
  <c r="L52" i="16"/>
  <c r="J46" i="16"/>
  <c r="N46" i="16"/>
  <c r="H46" i="16"/>
  <c r="P46" i="16"/>
  <c r="I52" i="16"/>
  <c r="L46" i="16"/>
  <c r="O52" i="16"/>
  <c r="O53" i="16" s="1"/>
  <c r="R46" i="16"/>
  <c r="E8" i="18"/>
  <c r="E10" i="18" s="1"/>
  <c r="E5" i="17" s="1"/>
  <c r="J3" i="18"/>
  <c r="J8" i="18" s="1"/>
  <c r="H38" i="10"/>
  <c r="E26" i="11" s="1"/>
  <c r="E25" i="20" s="1"/>
  <c r="K87" i="19"/>
  <c r="L105" i="19"/>
  <c r="K86" i="19"/>
  <c r="K104" i="19"/>
  <c r="K72" i="20"/>
  <c r="K77" i="19"/>
  <c r="J74" i="20"/>
  <c r="L85" i="19"/>
  <c r="J64" i="20"/>
  <c r="K113" i="19"/>
  <c r="L74" i="19"/>
  <c r="K65" i="20"/>
  <c r="K66" i="19"/>
  <c r="K118" i="19"/>
  <c r="D18" i="20"/>
  <c r="P18" i="20" s="1"/>
  <c r="P19" i="11"/>
  <c r="K84" i="19"/>
  <c r="J82" i="20"/>
  <c r="K111" i="19"/>
  <c r="K114" i="19" s="1"/>
  <c r="K58" i="15" s="1"/>
  <c r="K140" i="19"/>
  <c r="L137" i="19"/>
  <c r="K106" i="19"/>
  <c r="K83" i="19"/>
  <c r="K98" i="19"/>
  <c r="D25" i="20"/>
  <c r="K67" i="19"/>
  <c r="K97" i="19"/>
  <c r="L96" i="19"/>
  <c r="K69" i="19"/>
  <c r="K120" i="19"/>
  <c r="K117" i="19"/>
  <c r="K121" i="19" s="1"/>
  <c r="K63" i="15" s="1"/>
  <c r="K103" i="19"/>
  <c r="K141" i="19"/>
  <c r="K91" i="19"/>
  <c r="K92" i="19" s="1"/>
  <c r="K43" i="15" s="1"/>
  <c r="J45" i="20"/>
  <c r="K46" i="11"/>
  <c r="J52" i="16"/>
  <c r="P52" i="16"/>
  <c r="K139" i="19"/>
  <c r="K142" i="19" s="1"/>
  <c r="K83" i="15" s="1"/>
  <c r="K102" i="19"/>
  <c r="L145" i="19"/>
  <c r="L146" i="19" s="1"/>
  <c r="L88" i="15" s="1"/>
  <c r="L36" i="19"/>
  <c r="K124" i="19"/>
  <c r="K126" i="19" s="1"/>
  <c r="K68" i="15" s="1"/>
  <c r="L110" i="19"/>
  <c r="M153" i="19"/>
  <c r="K155" i="19"/>
  <c r="J158" i="19"/>
  <c r="J98" i="15" s="1"/>
  <c r="K95" i="19"/>
  <c r="K73" i="19"/>
  <c r="K79" i="19" s="1"/>
  <c r="K33" i="15" s="1"/>
  <c r="L82" i="19"/>
  <c r="K129" i="19"/>
  <c r="J130" i="19"/>
  <c r="J73" i="15" s="1"/>
  <c r="L59" i="19"/>
  <c r="K60" i="19"/>
  <c r="K23" i="15" s="1"/>
  <c r="K47" i="19"/>
  <c r="L133" i="19"/>
  <c r="K134" i="19"/>
  <c r="K78" i="15" s="1"/>
  <c r="L63" i="19"/>
  <c r="L119" i="19"/>
  <c r="S13" i="10"/>
  <c r="S14" i="10"/>
  <c r="S12" i="10"/>
  <c r="J30" i="10"/>
  <c r="I38" i="10"/>
  <c r="F26" i="11" s="1"/>
  <c r="F25" i="20" s="1"/>
  <c r="S37" i="10"/>
  <c r="S15" i="10"/>
  <c r="S16" i="10"/>
  <c r="S7" i="10"/>
  <c r="S29" i="10"/>
  <c r="N21" i="10"/>
  <c r="N20" i="10"/>
  <c r="H24" i="10"/>
  <c r="H20" i="10"/>
  <c r="H21" i="10"/>
  <c r="P20" i="10"/>
  <c r="P21" i="10"/>
  <c r="N24" i="10"/>
  <c r="I21" i="10"/>
  <c r="I20" i="10"/>
  <c r="P51" i="17"/>
  <c r="P50" i="17"/>
  <c r="P52" i="17" s="1"/>
  <c r="E12" i="17"/>
  <c r="P18" i="17"/>
  <c r="P19" i="17"/>
  <c r="F87" i="17"/>
  <c r="F73" i="17"/>
  <c r="P86" i="17"/>
  <c r="P80" i="17"/>
  <c r="F81" i="17"/>
  <c r="G73" i="17"/>
  <c r="E23" i="17"/>
  <c r="D23" i="17"/>
  <c r="H73" i="17"/>
  <c r="I69" i="17"/>
  <c r="F66" i="17"/>
  <c r="E32" i="17"/>
  <c r="E35" i="17" s="1"/>
  <c r="E44" i="17" s="1"/>
  <c r="D42" i="17"/>
  <c r="G38" i="17"/>
  <c r="F42" i="17"/>
  <c r="G87" i="17"/>
  <c r="D32" i="17"/>
  <c r="D35" i="17" s="1"/>
  <c r="F23" i="17"/>
  <c r="G77" i="17"/>
  <c r="H76" i="17"/>
  <c r="F58" i="17"/>
  <c r="G55" i="17"/>
  <c r="G81" i="17"/>
  <c r="P72" i="17"/>
  <c r="O23" i="10"/>
  <c r="K23" i="10"/>
  <c r="G23" i="10"/>
  <c r="G27" i="10" s="1"/>
  <c r="R23" i="10"/>
  <c r="N23" i="10"/>
  <c r="J23" i="10"/>
  <c r="Q23" i="10"/>
  <c r="M23" i="10"/>
  <c r="I23" i="10"/>
  <c r="P23" i="10"/>
  <c r="L23" i="10"/>
  <c r="H23" i="10"/>
  <c r="P24" i="10"/>
  <c r="L6" i="10"/>
  <c r="R6" i="10"/>
  <c r="J6" i="10"/>
  <c r="P43" i="16"/>
  <c r="L43" i="16"/>
  <c r="H43" i="16"/>
  <c r="I6" i="16"/>
  <c r="M6" i="16"/>
  <c r="Q6" i="16"/>
  <c r="R43" i="16"/>
  <c r="N43" i="16"/>
  <c r="J43" i="16"/>
  <c r="G6" i="16"/>
  <c r="K6" i="16"/>
  <c r="O6" i="16"/>
  <c r="O6" i="10"/>
  <c r="K6" i="10"/>
  <c r="Q6" i="10"/>
  <c r="M6" i="10"/>
  <c r="S7" i="16"/>
  <c r="G52" i="17" l="1"/>
  <c r="H50" i="17"/>
  <c r="K88" i="19"/>
  <c r="K38" i="15" s="1"/>
  <c r="E14" i="17"/>
  <c r="K107" i="19"/>
  <c r="K53" i="15" s="1"/>
  <c r="I49" i="16"/>
  <c r="I45" i="16"/>
  <c r="M49" i="16"/>
  <c r="M45" i="16"/>
  <c r="Q49" i="16"/>
  <c r="Q45" i="16"/>
  <c r="G49" i="16"/>
  <c r="G45" i="16"/>
  <c r="K45" i="16"/>
  <c r="K49" i="16"/>
  <c r="O49" i="16"/>
  <c r="O45" i="16"/>
  <c r="J148" i="19"/>
  <c r="L11" i="19"/>
  <c r="L29" i="19" s="1"/>
  <c r="L11" i="15" s="1"/>
  <c r="K99" i="19"/>
  <c r="K48" i="15" s="1"/>
  <c r="F12" i="17"/>
  <c r="K70" i="19"/>
  <c r="K28" i="15" s="1"/>
  <c r="O54" i="16"/>
  <c r="L5" i="19"/>
  <c r="L17" i="17"/>
  <c r="M17" i="17" s="1"/>
  <c r="L65" i="20"/>
  <c r="M74" i="19"/>
  <c r="H28" i="17"/>
  <c r="G34" i="17"/>
  <c r="G30" i="17"/>
  <c r="Q46" i="16"/>
  <c r="K46" i="16"/>
  <c r="M46" i="16"/>
  <c r="G46" i="16"/>
  <c r="O46" i="16"/>
  <c r="I46" i="16"/>
  <c r="G43" i="16"/>
  <c r="M96" i="19"/>
  <c r="L67" i="19"/>
  <c r="L98" i="19"/>
  <c r="M137" i="19"/>
  <c r="L66" i="19"/>
  <c r="M85" i="19"/>
  <c r="L72" i="20"/>
  <c r="L87" i="19"/>
  <c r="L103" i="19"/>
  <c r="L120" i="19"/>
  <c r="L69" i="19"/>
  <c r="L84" i="19"/>
  <c r="K82" i="20"/>
  <c r="M105" i="19"/>
  <c r="K64" i="20"/>
  <c r="L117" i="19"/>
  <c r="L121" i="19" s="1"/>
  <c r="L63" i="15" s="1"/>
  <c r="L97" i="19"/>
  <c r="L83" i="19"/>
  <c r="L106" i="19"/>
  <c r="L118" i="19"/>
  <c r="L113" i="19"/>
  <c r="L77" i="19"/>
  <c r="K74" i="20"/>
  <c r="L86" i="19"/>
  <c r="L88" i="19" s="1"/>
  <c r="L38" i="15" s="1"/>
  <c r="L141" i="19"/>
  <c r="L140" i="19"/>
  <c r="L111" i="19"/>
  <c r="L114" i="19" s="1"/>
  <c r="L58" i="15" s="1"/>
  <c r="L104" i="19"/>
  <c r="L91" i="19"/>
  <c r="L92" i="19" s="1"/>
  <c r="L43" i="15" s="1"/>
  <c r="K45" i="20"/>
  <c r="L46" i="11"/>
  <c r="K34" i="19"/>
  <c r="O34" i="19"/>
  <c r="M34" i="19"/>
  <c r="G34" i="19"/>
  <c r="I34" i="19"/>
  <c r="E34" i="19"/>
  <c r="L73" i="19"/>
  <c r="L79" i="19" s="1"/>
  <c r="L33" i="15" s="1"/>
  <c r="L155" i="19"/>
  <c r="K158" i="19"/>
  <c r="K98" i="15" s="1"/>
  <c r="M119" i="19"/>
  <c r="L60" i="19"/>
  <c r="L23" i="15" s="1"/>
  <c r="M59" i="19"/>
  <c r="L95" i="19"/>
  <c r="M36" i="19"/>
  <c r="N153" i="19"/>
  <c r="M110" i="19"/>
  <c r="L102" i="19"/>
  <c r="L139" i="19"/>
  <c r="L142" i="19" s="1"/>
  <c r="L83" i="15" s="1"/>
  <c r="K130" i="19"/>
  <c r="K73" i="15" s="1"/>
  <c r="L129" i="19"/>
  <c r="M145" i="19"/>
  <c r="M146" i="19" s="1"/>
  <c r="M88" i="15" s="1"/>
  <c r="M63" i="19"/>
  <c r="M133" i="19"/>
  <c r="L134" i="19"/>
  <c r="L78" i="15" s="1"/>
  <c r="L47" i="19"/>
  <c r="M82" i="19"/>
  <c r="L124" i="19"/>
  <c r="L126" i="19" s="1"/>
  <c r="L68" i="15" s="1"/>
  <c r="K53" i="16"/>
  <c r="H11" i="19" s="1"/>
  <c r="H29" i="19" s="1"/>
  <c r="H11" i="15" s="1"/>
  <c r="K30" i="10"/>
  <c r="J38" i="10"/>
  <c r="G26" i="11" s="1"/>
  <c r="G25" i="20" s="1"/>
  <c r="S6" i="16"/>
  <c r="S43" i="16" s="1"/>
  <c r="Q21" i="10"/>
  <c r="Q20" i="10"/>
  <c r="J24" i="10"/>
  <c r="J21" i="10"/>
  <c r="J20" i="10"/>
  <c r="R21" i="10"/>
  <c r="R20" i="10"/>
  <c r="M21" i="10"/>
  <c r="M20" i="10"/>
  <c r="K24" i="10"/>
  <c r="K21" i="10"/>
  <c r="K20" i="10"/>
  <c r="O24" i="10"/>
  <c r="O21" i="10"/>
  <c r="O20" i="10"/>
  <c r="L24" i="10"/>
  <c r="L21" i="10"/>
  <c r="L20" i="10"/>
  <c r="F44" i="17"/>
  <c r="D25" i="17"/>
  <c r="F5" i="17"/>
  <c r="E25" i="17"/>
  <c r="E46" i="17" s="1"/>
  <c r="D44" i="17"/>
  <c r="J30" i="17"/>
  <c r="H77" i="17"/>
  <c r="I76" i="17"/>
  <c r="H81" i="17"/>
  <c r="H55" i="17"/>
  <c r="G58" i="17"/>
  <c r="H87" i="17"/>
  <c r="J69" i="17"/>
  <c r="I73" i="17"/>
  <c r="G23" i="17"/>
  <c r="G42" i="17"/>
  <c r="H38" i="17"/>
  <c r="G66" i="17"/>
  <c r="M24" i="10"/>
  <c r="R24" i="10"/>
  <c r="Q24" i="10"/>
  <c r="Q52" i="16"/>
  <c r="Q53" i="16" s="1"/>
  <c r="N11" i="19" s="1"/>
  <c r="N29" i="19" s="1"/>
  <c r="N11" i="15" s="1"/>
  <c r="M43" i="16"/>
  <c r="M52" i="16"/>
  <c r="M53" i="16" s="1"/>
  <c r="J11" i="19" s="1"/>
  <c r="J29" i="19" s="1"/>
  <c r="J11" i="15" s="1"/>
  <c r="G52" i="16"/>
  <c r="G53" i="16" s="1"/>
  <c r="D11" i="19" s="1"/>
  <c r="I43" i="16"/>
  <c r="O43" i="16"/>
  <c r="L53" i="16"/>
  <c r="K43" i="16"/>
  <c r="Q43" i="16"/>
  <c r="P53" i="16"/>
  <c r="H53" i="16"/>
  <c r="S48" i="16"/>
  <c r="R53" i="16"/>
  <c r="O11" i="19" s="1"/>
  <c r="O29" i="19" s="1"/>
  <c r="O11" i="15" s="1"/>
  <c r="J53" i="16"/>
  <c r="G11" i="19" s="1"/>
  <c r="G29" i="19" s="1"/>
  <c r="G11" i="15" s="1"/>
  <c r="I53" i="16"/>
  <c r="F11" i="19" s="1"/>
  <c r="F29" i="19" s="1"/>
  <c r="F11" i="15" s="1"/>
  <c r="N53" i="16"/>
  <c r="M61" i="1"/>
  <c r="N61" i="1" s="1"/>
  <c r="O61" i="1" s="1"/>
  <c r="H52" i="17" l="1"/>
  <c r="I50" i="17"/>
  <c r="L99" i="19"/>
  <c r="L48" i="15" s="1"/>
  <c r="L107" i="19"/>
  <c r="L53" i="15" s="1"/>
  <c r="M11" i="19"/>
  <c r="M29" i="19" s="1"/>
  <c r="M11" i="15" s="1"/>
  <c r="K11" i="19"/>
  <c r="K29" i="19" s="1"/>
  <c r="K11" i="15" s="1"/>
  <c r="I11" i="19"/>
  <c r="I29" i="19" s="1"/>
  <c r="I11" i="15" s="1"/>
  <c r="E11" i="19"/>
  <c r="K148" i="19"/>
  <c r="G12" i="17"/>
  <c r="F14" i="17"/>
  <c r="F25" i="17" s="1"/>
  <c r="F46" i="17" s="1"/>
  <c r="I48" i="19"/>
  <c r="K48" i="19"/>
  <c r="G48" i="19"/>
  <c r="G52" i="19" s="1"/>
  <c r="M48" i="19"/>
  <c r="E48" i="19"/>
  <c r="E52" i="19" s="1"/>
  <c r="O48" i="19"/>
  <c r="L70" i="19"/>
  <c r="L28" i="15" s="1"/>
  <c r="I35" i="19"/>
  <c r="I37" i="19" s="1"/>
  <c r="I42" i="19" s="1"/>
  <c r="E35" i="19"/>
  <c r="E41" i="19" s="1"/>
  <c r="D29" i="19"/>
  <c r="D11" i="15" s="1"/>
  <c r="K35" i="19"/>
  <c r="K41" i="19" s="1"/>
  <c r="O35" i="19"/>
  <c r="G35" i="19"/>
  <c r="G37" i="19" s="1"/>
  <c r="G42" i="19" s="1"/>
  <c r="M35" i="19"/>
  <c r="M37" i="19" s="1"/>
  <c r="M42" i="19" s="1"/>
  <c r="O55" i="16"/>
  <c r="L7" i="19" s="1"/>
  <c r="I54" i="16"/>
  <c r="I55" i="16" s="1"/>
  <c r="F5" i="19"/>
  <c r="H54" i="16"/>
  <c r="E5" i="19"/>
  <c r="G54" i="16"/>
  <c r="D5" i="19"/>
  <c r="K54" i="16"/>
  <c r="H5" i="19"/>
  <c r="J54" i="16"/>
  <c r="G5" i="19"/>
  <c r="L54" i="16"/>
  <c r="I5" i="19"/>
  <c r="M54" i="16"/>
  <c r="J5" i="19"/>
  <c r="R54" i="16"/>
  <c r="R55" i="16" s="1"/>
  <c r="O5" i="19"/>
  <c r="P54" i="16"/>
  <c r="P55" i="16" s="1"/>
  <c r="M5" i="19"/>
  <c r="N54" i="16"/>
  <c r="N55" i="16" s="1"/>
  <c r="K5" i="19"/>
  <c r="Q54" i="16"/>
  <c r="Q55" i="16" s="1"/>
  <c r="N5" i="19"/>
  <c r="N17" i="17"/>
  <c r="O17" i="17" s="1"/>
  <c r="N34" i="19"/>
  <c r="H34" i="17"/>
  <c r="H30" i="17"/>
  <c r="H32" i="17" s="1"/>
  <c r="I28" i="17"/>
  <c r="F34" i="19"/>
  <c r="G32" i="17"/>
  <c r="G35" i="17" s="1"/>
  <c r="G44" i="17" s="1"/>
  <c r="N74" i="19"/>
  <c r="M65" i="20"/>
  <c r="J34" i="19"/>
  <c r="D34" i="19"/>
  <c r="H34" i="19"/>
  <c r="K52" i="19"/>
  <c r="S49" i="16"/>
  <c r="L34" i="19"/>
  <c r="L64" i="20"/>
  <c r="M86" i="19"/>
  <c r="M72" i="20"/>
  <c r="M67" i="19"/>
  <c r="M104" i="19"/>
  <c r="M113" i="19"/>
  <c r="M118" i="19"/>
  <c r="M97" i="19"/>
  <c r="M69" i="19"/>
  <c r="M87" i="19"/>
  <c r="M98" i="19"/>
  <c r="M140" i="19"/>
  <c r="M77" i="19"/>
  <c r="L74" i="20"/>
  <c r="M83" i="19"/>
  <c r="N105" i="19"/>
  <c r="M84" i="19"/>
  <c r="L82" i="20"/>
  <c r="M103" i="19"/>
  <c r="N137" i="19"/>
  <c r="N96" i="19"/>
  <c r="M111" i="19"/>
  <c r="M114" i="19" s="1"/>
  <c r="M58" i="15" s="1"/>
  <c r="M141" i="19"/>
  <c r="M106" i="19"/>
  <c r="M107" i="19" s="1"/>
  <c r="M53" i="15" s="1"/>
  <c r="M117" i="19"/>
  <c r="M121" i="19" s="1"/>
  <c r="M63" i="15" s="1"/>
  <c r="M120" i="19"/>
  <c r="N85" i="19"/>
  <c r="M66" i="19"/>
  <c r="M91" i="19"/>
  <c r="M92" i="19" s="1"/>
  <c r="M43" i="15" s="1"/>
  <c r="L45" i="20"/>
  <c r="M46" i="11"/>
  <c r="I52" i="19"/>
  <c r="N36" i="19"/>
  <c r="M60" i="19"/>
  <c r="M23" i="15" s="1"/>
  <c r="N59" i="19"/>
  <c r="N119" i="19"/>
  <c r="M134" i="19"/>
  <c r="M78" i="15" s="1"/>
  <c r="N133" i="19"/>
  <c r="M102" i="19"/>
  <c r="O153" i="19"/>
  <c r="M155" i="19"/>
  <c r="L158" i="19"/>
  <c r="L98" i="15" s="1"/>
  <c r="M47" i="19"/>
  <c r="M124" i="19"/>
  <c r="M126" i="19" s="1"/>
  <c r="M68" i="15" s="1"/>
  <c r="M95" i="19"/>
  <c r="M73" i="19"/>
  <c r="N110" i="19"/>
  <c r="N82" i="19"/>
  <c r="N145" i="19"/>
  <c r="N146" i="19" s="1"/>
  <c r="N88" i="15" s="1"/>
  <c r="N63" i="19"/>
  <c r="L130" i="19"/>
  <c r="L73" i="15" s="1"/>
  <c r="M129" i="19"/>
  <c r="M139" i="19"/>
  <c r="M142" i="19" s="1"/>
  <c r="M83" i="15" s="1"/>
  <c r="S45" i="16"/>
  <c r="E83" i="17"/>
  <c r="E89" i="17" s="1"/>
  <c r="P61" i="1"/>
  <c r="L30" i="10"/>
  <c r="K38" i="10"/>
  <c r="H26" i="11" s="1"/>
  <c r="H25" i="20" s="1"/>
  <c r="G5" i="17"/>
  <c r="D46" i="17"/>
  <c r="J32" i="17"/>
  <c r="J35" i="17" s="1"/>
  <c r="I87" i="17"/>
  <c r="H58" i="17"/>
  <c r="I55" i="17"/>
  <c r="H66" i="17"/>
  <c r="I81" i="17"/>
  <c r="H42" i="17"/>
  <c r="I38" i="17"/>
  <c r="H23" i="17"/>
  <c r="K69" i="17"/>
  <c r="J73" i="17"/>
  <c r="J76" i="17"/>
  <c r="I77" i="17"/>
  <c r="S52" i="16"/>
  <c r="S46" i="16"/>
  <c r="S53" i="16"/>
  <c r="E60" i="1"/>
  <c r="F60" i="1" s="1"/>
  <c r="E59" i="1"/>
  <c r="F59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I52" i="17" l="1"/>
  <c r="J50" i="17"/>
  <c r="L148" i="19"/>
  <c r="M88" i="19"/>
  <c r="M38" i="15" s="1"/>
  <c r="E29" i="19"/>
  <c r="E11" i="15" s="1"/>
  <c r="P11" i="19"/>
  <c r="P29" i="19" s="1"/>
  <c r="L31" i="19"/>
  <c r="L6" i="15"/>
  <c r="N73" i="19"/>
  <c r="M79" i="19"/>
  <c r="M33" i="15" s="1"/>
  <c r="M99" i="19"/>
  <c r="M48" i="15" s="1"/>
  <c r="H12" i="17"/>
  <c r="G14" i="17"/>
  <c r="G25" i="17" s="1"/>
  <c r="G46" i="17" s="1"/>
  <c r="G83" i="17" s="1"/>
  <c r="H35" i="17"/>
  <c r="H44" i="17" s="1"/>
  <c r="F48" i="19"/>
  <c r="H48" i="19"/>
  <c r="H52" i="19" s="1"/>
  <c r="M70" i="19"/>
  <c r="M28" i="15" s="1"/>
  <c r="L48" i="19"/>
  <c r="L52" i="19" s="1"/>
  <c r="D48" i="19"/>
  <c r="N48" i="19"/>
  <c r="J48" i="19"/>
  <c r="J52" i="19" s="1"/>
  <c r="I41" i="19"/>
  <c r="I44" i="19" s="1"/>
  <c r="I54" i="19" s="1"/>
  <c r="I18" i="15" s="1"/>
  <c r="O73" i="19"/>
  <c r="N64" i="20"/>
  <c r="L6" i="20"/>
  <c r="E37" i="19"/>
  <c r="E42" i="19" s="1"/>
  <c r="N7" i="19"/>
  <c r="F7" i="19"/>
  <c r="M41" i="19"/>
  <c r="M44" i="19" s="1"/>
  <c r="G41" i="19"/>
  <c r="G44" i="19" s="1"/>
  <c r="G54" i="19" s="1"/>
  <c r="G18" i="15" s="1"/>
  <c r="H35" i="19"/>
  <c r="H37" i="19" s="1"/>
  <c r="H42" i="19" s="1"/>
  <c r="F35" i="19"/>
  <c r="F41" i="19" s="1"/>
  <c r="L35" i="19"/>
  <c r="L37" i="19" s="1"/>
  <c r="L42" i="19" s="1"/>
  <c r="D35" i="19"/>
  <c r="N35" i="19"/>
  <c r="N41" i="19" s="1"/>
  <c r="K37" i="19"/>
  <c r="J35" i="19"/>
  <c r="J41" i="19" s="1"/>
  <c r="M7" i="19"/>
  <c r="M6" i="15" s="1"/>
  <c r="G55" i="16"/>
  <c r="K55" i="16"/>
  <c r="H7" i="19" s="1"/>
  <c r="K7" i="19"/>
  <c r="P5" i="19"/>
  <c r="H55" i="16"/>
  <c r="E7" i="19" s="1"/>
  <c r="E6" i="15" s="1"/>
  <c r="O7" i="19"/>
  <c r="J55" i="16"/>
  <c r="G7" i="19" s="1"/>
  <c r="L55" i="16"/>
  <c r="I7" i="19" s="1"/>
  <c r="I6" i="15" s="1"/>
  <c r="F52" i="19"/>
  <c r="O74" i="19"/>
  <c r="O65" i="20" s="1"/>
  <c r="N65" i="20"/>
  <c r="I30" i="17"/>
  <c r="I32" i="17" s="1"/>
  <c r="I34" i="17"/>
  <c r="K28" i="17"/>
  <c r="D52" i="19"/>
  <c r="P34" i="19"/>
  <c r="N111" i="19"/>
  <c r="N114" i="19" s="1"/>
  <c r="N58" i="15" s="1"/>
  <c r="N83" i="19"/>
  <c r="N87" i="19"/>
  <c r="N104" i="19"/>
  <c r="N66" i="19"/>
  <c r="N120" i="19"/>
  <c r="N141" i="19"/>
  <c r="N103" i="19"/>
  <c r="N140" i="19"/>
  <c r="N97" i="19"/>
  <c r="N113" i="19"/>
  <c r="N67" i="19"/>
  <c r="O137" i="19"/>
  <c r="O105" i="19"/>
  <c r="N98" i="19"/>
  <c r="N69" i="19"/>
  <c r="N86" i="19"/>
  <c r="M64" i="20"/>
  <c r="O85" i="19"/>
  <c r="N117" i="19"/>
  <c r="N121" i="19" s="1"/>
  <c r="N63" i="15" s="1"/>
  <c r="N106" i="19"/>
  <c r="O96" i="19"/>
  <c r="N84" i="19"/>
  <c r="M82" i="20"/>
  <c r="N77" i="19"/>
  <c r="M74" i="20"/>
  <c r="N118" i="19"/>
  <c r="N72" i="20"/>
  <c r="N91" i="19"/>
  <c r="N92" i="19" s="1"/>
  <c r="N43" i="15" s="1"/>
  <c r="M45" i="20"/>
  <c r="N46" i="11"/>
  <c r="S54" i="16"/>
  <c r="M55" i="16"/>
  <c r="J7" i="19" s="1"/>
  <c r="J6" i="15" s="1"/>
  <c r="D7" i="19"/>
  <c r="D6" i="15" s="1"/>
  <c r="P6" i="19"/>
  <c r="N129" i="19"/>
  <c r="M130" i="19"/>
  <c r="M73" i="15" s="1"/>
  <c r="O110" i="19"/>
  <c r="N95" i="19"/>
  <c r="N155" i="19"/>
  <c r="M158" i="19"/>
  <c r="M98" i="15" s="1"/>
  <c r="N102" i="19"/>
  <c r="O119" i="19"/>
  <c r="O145" i="19"/>
  <c r="O146" i="19" s="1"/>
  <c r="O88" i="15" s="1"/>
  <c r="O133" i="19"/>
  <c r="N134" i="19"/>
  <c r="N78" i="15" s="1"/>
  <c r="N139" i="19"/>
  <c r="N142" i="19" s="1"/>
  <c r="N83" i="15" s="1"/>
  <c r="N124" i="19"/>
  <c r="N126" i="19" s="1"/>
  <c r="N68" i="15" s="1"/>
  <c r="P153" i="19"/>
  <c r="N60" i="19"/>
  <c r="N23" i="15" s="1"/>
  <c r="O59" i="19"/>
  <c r="O63" i="19"/>
  <c r="O82" i="19"/>
  <c r="M52" i="19"/>
  <c r="N47" i="19"/>
  <c r="O36" i="19"/>
  <c r="F83" i="17"/>
  <c r="F89" i="17" s="1"/>
  <c r="D83" i="17"/>
  <c r="D89" i="17" s="1"/>
  <c r="D91" i="17" s="1"/>
  <c r="E91" i="17" s="1"/>
  <c r="P32" i="1"/>
  <c r="M30" i="10"/>
  <c r="L38" i="10"/>
  <c r="I26" i="11" s="1"/>
  <c r="I25" i="20" s="1"/>
  <c r="H5" i="17"/>
  <c r="I58" i="17"/>
  <c r="J55" i="17"/>
  <c r="J87" i="17"/>
  <c r="K73" i="17"/>
  <c r="L69" i="17"/>
  <c r="I42" i="17"/>
  <c r="J38" i="17"/>
  <c r="I66" i="17"/>
  <c r="K76" i="17"/>
  <c r="J77" i="17"/>
  <c r="I23" i="17"/>
  <c r="J81" i="17"/>
  <c r="G60" i="1"/>
  <c r="G59" i="1"/>
  <c r="P70" i="1"/>
  <c r="E16" i="1"/>
  <c r="F16" i="1" s="1"/>
  <c r="G16" i="1" s="1"/>
  <c r="I16" i="1" s="1"/>
  <c r="J16" i="1" s="1"/>
  <c r="K16" i="1" s="1"/>
  <c r="L16" i="1" s="1"/>
  <c r="N16" i="1" s="1"/>
  <c r="O16" i="1" s="1"/>
  <c r="S20" i="9"/>
  <c r="J52" i="17" l="1"/>
  <c r="K50" i="17"/>
  <c r="N79" i="19"/>
  <c r="N33" i="15" s="1"/>
  <c r="N107" i="19"/>
  <c r="N53" i="15" s="1"/>
  <c r="N88" i="19"/>
  <c r="N38" i="15" s="1"/>
  <c r="O64" i="20"/>
  <c r="N31" i="19"/>
  <c r="N6" i="15"/>
  <c r="F6" i="20"/>
  <c r="F6" i="15"/>
  <c r="H31" i="19"/>
  <c r="H6" i="15"/>
  <c r="K6" i="20"/>
  <c r="K6" i="15"/>
  <c r="O31" i="19"/>
  <c r="O6" i="15"/>
  <c r="G6" i="20"/>
  <c r="G6" i="15"/>
  <c r="M148" i="19"/>
  <c r="N99" i="19"/>
  <c r="N48" i="15" s="1"/>
  <c r="I12" i="17"/>
  <c r="H14" i="17"/>
  <c r="H25" i="17" s="1"/>
  <c r="H46" i="17" s="1"/>
  <c r="I35" i="17"/>
  <c r="I44" i="17" s="1"/>
  <c r="D6" i="20"/>
  <c r="D31" i="19"/>
  <c r="N70" i="19"/>
  <c r="E44" i="19"/>
  <c r="E54" i="19" s="1"/>
  <c r="E18" i="15" s="1"/>
  <c r="F44" i="19"/>
  <c r="F54" i="19" s="1"/>
  <c r="F18" i="15" s="1"/>
  <c r="K42" i="19"/>
  <c r="K44" i="19" s="1"/>
  <c r="K54" i="19" s="1"/>
  <c r="K18" i="15" s="1"/>
  <c r="P7" i="19"/>
  <c r="C154" i="19" s="1"/>
  <c r="M54" i="19"/>
  <c r="M18" i="15" s="1"/>
  <c r="P137" i="19"/>
  <c r="P74" i="19"/>
  <c r="N6" i="20"/>
  <c r="F31" i="19"/>
  <c r="H41" i="19"/>
  <c r="H44" i="19" s="1"/>
  <c r="H54" i="19" s="1"/>
  <c r="H18" i="15" s="1"/>
  <c r="P65" i="20"/>
  <c r="L41" i="19"/>
  <c r="P35" i="19"/>
  <c r="N37" i="19"/>
  <c r="N42" i="19" s="1"/>
  <c r="D37" i="19"/>
  <c r="D42" i="19" s="1"/>
  <c r="D41" i="19"/>
  <c r="F37" i="19"/>
  <c r="F42" i="19" s="1"/>
  <c r="J37" i="19"/>
  <c r="J42" i="19" s="1"/>
  <c r="G31" i="19"/>
  <c r="G56" i="19" s="1"/>
  <c r="G150" i="19" s="1"/>
  <c r="G93" i="15" s="1"/>
  <c r="M6" i="20"/>
  <c r="M31" i="19"/>
  <c r="K31" i="19"/>
  <c r="H6" i="20"/>
  <c r="I31" i="19"/>
  <c r="I56" i="19" s="1"/>
  <c r="I150" i="19" s="1"/>
  <c r="I93" i="15" s="1"/>
  <c r="I6" i="20"/>
  <c r="E31" i="19"/>
  <c r="E6" i="20"/>
  <c r="O6" i="20"/>
  <c r="S55" i="16"/>
  <c r="P48" i="19"/>
  <c r="K34" i="17"/>
  <c r="K30" i="17"/>
  <c r="L28" i="17"/>
  <c r="O118" i="19"/>
  <c r="P64" i="20"/>
  <c r="P105" i="19"/>
  <c r="O113" i="19"/>
  <c r="O140" i="19"/>
  <c r="O83" i="19"/>
  <c r="O72" i="20"/>
  <c r="P72" i="20" s="1"/>
  <c r="O84" i="19"/>
  <c r="N82" i="20"/>
  <c r="O86" i="19"/>
  <c r="O141" i="19"/>
  <c r="O66" i="19"/>
  <c r="O87" i="19"/>
  <c r="O77" i="19"/>
  <c r="O79" i="19" s="1"/>
  <c r="O33" i="15" s="1"/>
  <c r="N74" i="20"/>
  <c r="P96" i="19"/>
  <c r="O106" i="19"/>
  <c r="O107" i="19" s="1"/>
  <c r="O53" i="15" s="1"/>
  <c r="P85" i="19"/>
  <c r="O98" i="19"/>
  <c r="O67" i="19"/>
  <c r="P67" i="19" s="1"/>
  <c r="O97" i="19"/>
  <c r="O104" i="19"/>
  <c r="P104" i="19" s="1"/>
  <c r="O111" i="19"/>
  <c r="O117" i="19"/>
  <c r="O69" i="19"/>
  <c r="O103" i="19"/>
  <c r="O120" i="19"/>
  <c r="F91" i="17"/>
  <c r="O91" i="19"/>
  <c r="O92" i="19" s="1"/>
  <c r="O43" i="15" s="1"/>
  <c r="J31" i="19"/>
  <c r="J6" i="20"/>
  <c r="N45" i="20"/>
  <c r="O46" i="11"/>
  <c r="O45" i="20" s="1"/>
  <c r="O129" i="19"/>
  <c r="N130" i="19"/>
  <c r="N73" i="15" s="1"/>
  <c r="O37" i="19"/>
  <c r="O41" i="19"/>
  <c r="P36" i="19"/>
  <c r="P82" i="19"/>
  <c r="O124" i="19"/>
  <c r="O126" i="19" s="1"/>
  <c r="O68" i="15" s="1"/>
  <c r="O139" i="19"/>
  <c r="O142" i="19" s="1"/>
  <c r="O83" i="15" s="1"/>
  <c r="P145" i="19"/>
  <c r="P146" i="19" s="1"/>
  <c r="O102" i="19"/>
  <c r="O95" i="19"/>
  <c r="O60" i="19"/>
  <c r="O23" i="15" s="1"/>
  <c r="P59" i="19"/>
  <c r="P60" i="19" s="1"/>
  <c r="P63" i="19"/>
  <c r="P110" i="19"/>
  <c r="N52" i="19"/>
  <c r="O47" i="19"/>
  <c r="O134" i="19"/>
  <c r="O78" i="15" s="1"/>
  <c r="P133" i="19"/>
  <c r="P119" i="19"/>
  <c r="O155" i="19"/>
  <c r="N158" i="19"/>
  <c r="N98" i="15" s="1"/>
  <c r="N30" i="10"/>
  <c r="M38" i="10"/>
  <c r="J26" i="11" s="1"/>
  <c r="J25" i="20" s="1"/>
  <c r="I5" i="17"/>
  <c r="K77" i="17"/>
  <c r="L76" i="17"/>
  <c r="L73" i="17"/>
  <c r="M69" i="17"/>
  <c r="J23" i="17"/>
  <c r="J66" i="17"/>
  <c r="J58" i="17"/>
  <c r="K55" i="17"/>
  <c r="K38" i="17"/>
  <c r="J42" i="17"/>
  <c r="J44" i="17" s="1"/>
  <c r="G89" i="17"/>
  <c r="K87" i="17"/>
  <c r="K81" i="17"/>
  <c r="H60" i="1"/>
  <c r="H59" i="1"/>
  <c r="S19" i="9"/>
  <c r="K52" i="17" l="1"/>
  <c r="L50" i="17"/>
  <c r="O99" i="19"/>
  <c r="O48" i="15" s="1"/>
  <c r="N148" i="19"/>
  <c r="N28" i="15"/>
  <c r="P111" i="19"/>
  <c r="O114" i="19"/>
  <c r="O58" i="15" s="1"/>
  <c r="P117" i="19"/>
  <c r="O121" i="19"/>
  <c r="O63" i="15" s="1"/>
  <c r="J44" i="19"/>
  <c r="J54" i="19" s="1"/>
  <c r="P86" i="19"/>
  <c r="O88" i="19"/>
  <c r="O38" i="15" s="1"/>
  <c r="J12" i="17"/>
  <c r="I14" i="17"/>
  <c r="C78" i="19"/>
  <c r="O42" i="19"/>
  <c r="O44" i="19" s="1"/>
  <c r="O70" i="19"/>
  <c r="O28" i="15" s="1"/>
  <c r="H56" i="19"/>
  <c r="H150" i="19" s="1"/>
  <c r="L44" i="19"/>
  <c r="L54" i="19" s="1"/>
  <c r="N44" i="19"/>
  <c r="N54" i="19" s="1"/>
  <c r="D44" i="19"/>
  <c r="D54" i="19" s="1"/>
  <c r="I160" i="19"/>
  <c r="I103" i="15" s="1"/>
  <c r="G160" i="19"/>
  <c r="G103" i="15" s="1"/>
  <c r="E56" i="19"/>
  <c r="E150" i="19" s="1"/>
  <c r="E93" i="15" s="1"/>
  <c r="C64" i="19"/>
  <c r="C65" i="19"/>
  <c r="C39" i="19"/>
  <c r="C43" i="19"/>
  <c r="C50" i="19"/>
  <c r="C49" i="19"/>
  <c r="C35" i="19"/>
  <c r="K56" i="19"/>
  <c r="K150" i="19" s="1"/>
  <c r="K93" i="15" s="1"/>
  <c r="M56" i="19"/>
  <c r="M150" i="19" s="1"/>
  <c r="M93" i="15" s="1"/>
  <c r="C76" i="19"/>
  <c r="P41" i="19"/>
  <c r="C41" i="19" s="1"/>
  <c r="F56" i="19"/>
  <c r="F150" i="19" s="1"/>
  <c r="F93" i="15" s="1"/>
  <c r="P6" i="20"/>
  <c r="L34" i="17"/>
  <c r="M28" i="17"/>
  <c r="L30" i="17"/>
  <c r="L32" i="17" s="1"/>
  <c r="K32" i="17"/>
  <c r="K35" i="17" s="1"/>
  <c r="G91" i="17"/>
  <c r="P83" i="19"/>
  <c r="C83" i="19" s="1"/>
  <c r="P98" i="19"/>
  <c r="C98" i="19" s="1"/>
  <c r="P106" i="19"/>
  <c r="P66" i="19"/>
  <c r="P140" i="19"/>
  <c r="C140" i="19" s="1"/>
  <c r="P120" i="19"/>
  <c r="C120" i="19" s="1"/>
  <c r="P69" i="19"/>
  <c r="C69" i="19" s="1"/>
  <c r="P87" i="19"/>
  <c r="C87" i="19" s="1"/>
  <c r="P141" i="19"/>
  <c r="C141" i="19" s="1"/>
  <c r="P113" i="19"/>
  <c r="P114" i="19" s="1"/>
  <c r="C114" i="19" s="1"/>
  <c r="P118" i="19"/>
  <c r="C118" i="19" s="1"/>
  <c r="P97" i="19"/>
  <c r="O74" i="20"/>
  <c r="P74" i="20" s="1"/>
  <c r="P77" i="19"/>
  <c r="O82" i="20"/>
  <c r="P82" i="20" s="1"/>
  <c r="P84" i="19"/>
  <c r="P103" i="19"/>
  <c r="C103" i="19" s="1"/>
  <c r="C25" i="19"/>
  <c r="Q11" i="19"/>
  <c r="P91" i="19"/>
  <c r="P31" i="19"/>
  <c r="C31" i="19" s="1"/>
  <c r="P45" i="20"/>
  <c r="C138" i="19"/>
  <c r="C111" i="19"/>
  <c r="C18" i="19"/>
  <c r="C38" i="19"/>
  <c r="C14" i="19"/>
  <c r="C13" i="19"/>
  <c r="C26" i="19"/>
  <c r="C20" i="19"/>
  <c r="C125" i="19"/>
  <c r="C16" i="19"/>
  <c r="C104" i="19"/>
  <c r="C67" i="19"/>
  <c r="C112" i="19"/>
  <c r="C21" i="19"/>
  <c r="C23" i="19"/>
  <c r="C77" i="19"/>
  <c r="C86" i="19"/>
  <c r="C12" i="19"/>
  <c r="C27" i="19"/>
  <c r="C28" i="19"/>
  <c r="C157" i="19"/>
  <c r="C156" i="19"/>
  <c r="C40" i="19"/>
  <c r="C15" i="19"/>
  <c r="C17" i="19"/>
  <c r="C75" i="19"/>
  <c r="C11" i="19"/>
  <c r="C24" i="19"/>
  <c r="C7" i="19"/>
  <c r="C22" i="19"/>
  <c r="C19" i="19"/>
  <c r="C85" i="19"/>
  <c r="C105" i="19"/>
  <c r="C29" i="19"/>
  <c r="C137" i="19"/>
  <c r="C74" i="19"/>
  <c r="C51" i="19"/>
  <c r="Q29" i="19"/>
  <c r="C96" i="19"/>
  <c r="C117" i="19"/>
  <c r="C34" i="19"/>
  <c r="IV7" i="19"/>
  <c r="C153" i="19"/>
  <c r="C6" i="19"/>
  <c r="C48" i="19"/>
  <c r="C119" i="19"/>
  <c r="P102" i="19"/>
  <c r="C82" i="19"/>
  <c r="C133" i="19"/>
  <c r="P134" i="19"/>
  <c r="C134" i="19" s="1"/>
  <c r="C110" i="19"/>
  <c r="P95" i="19"/>
  <c r="C145" i="19"/>
  <c r="P155" i="19"/>
  <c r="O158" i="19"/>
  <c r="O98" i="15" s="1"/>
  <c r="P73" i="19"/>
  <c r="P79" i="19" s="1"/>
  <c r="P124" i="19"/>
  <c r="P126" i="19" s="1"/>
  <c r="C36" i="19"/>
  <c r="P37" i="19"/>
  <c r="C37" i="19" s="1"/>
  <c r="O52" i="19"/>
  <c r="P47" i="19"/>
  <c r="C63" i="19"/>
  <c r="C59" i="19"/>
  <c r="C60" i="19"/>
  <c r="P139" i="19"/>
  <c r="P142" i="19" s="1"/>
  <c r="O130" i="19"/>
  <c r="O73" i="15" s="1"/>
  <c r="P129" i="19"/>
  <c r="H83" i="17"/>
  <c r="H89" i="17" s="1"/>
  <c r="O30" i="10"/>
  <c r="N38" i="10"/>
  <c r="K26" i="11" s="1"/>
  <c r="K25" i="20" s="1"/>
  <c r="J5" i="17"/>
  <c r="I25" i="17"/>
  <c r="I46" i="17" s="1"/>
  <c r="K58" i="17"/>
  <c r="L55" i="17"/>
  <c r="M73" i="17"/>
  <c r="N69" i="17"/>
  <c r="K23" i="17"/>
  <c r="K66" i="17"/>
  <c r="L77" i="17"/>
  <c r="M76" i="17"/>
  <c r="L81" i="17"/>
  <c r="L87" i="17"/>
  <c r="L38" i="17"/>
  <c r="K42" i="17"/>
  <c r="I60" i="1"/>
  <c r="I59" i="1"/>
  <c r="S18" i="9"/>
  <c r="L52" i="17" l="1"/>
  <c r="M50" i="17"/>
  <c r="P121" i="19"/>
  <c r="P88" i="19"/>
  <c r="J18" i="15"/>
  <c r="J56" i="19"/>
  <c r="J150" i="19" s="1"/>
  <c r="D56" i="19"/>
  <c r="D150" i="19" s="1"/>
  <c r="D18" i="15"/>
  <c r="N56" i="19"/>
  <c r="N150" i="19" s="1"/>
  <c r="N93" i="15" s="1"/>
  <c r="N18" i="15"/>
  <c r="L56" i="19"/>
  <c r="L150" i="19" s="1"/>
  <c r="L18" i="15"/>
  <c r="H160" i="19"/>
  <c r="H103" i="15" s="1"/>
  <c r="H93" i="15"/>
  <c r="P92" i="19"/>
  <c r="C92" i="19" s="1"/>
  <c r="O148" i="19"/>
  <c r="O54" i="19"/>
  <c r="P42" i="19"/>
  <c r="C42" i="19" s="1"/>
  <c r="C106" i="19"/>
  <c r="P107" i="19"/>
  <c r="K12" i="17"/>
  <c r="J14" i="17"/>
  <c r="J25" i="17" s="1"/>
  <c r="J46" i="17" s="1"/>
  <c r="J83" i="17" s="1"/>
  <c r="C97" i="19"/>
  <c r="P99" i="19"/>
  <c r="C99" i="19" s="1"/>
  <c r="L35" i="17"/>
  <c r="P70" i="19"/>
  <c r="F160" i="19"/>
  <c r="F103" i="15" s="1"/>
  <c r="M160" i="19"/>
  <c r="M103" i="15" s="1"/>
  <c r="K160" i="19"/>
  <c r="K103" i="15" s="1"/>
  <c r="E160" i="19"/>
  <c r="C91" i="19"/>
  <c r="C142" i="19"/>
  <c r="C113" i="19"/>
  <c r="C121" i="19"/>
  <c r="C79" i="19"/>
  <c r="C88" i="19"/>
  <c r="C84" i="19"/>
  <c r="M34" i="17"/>
  <c r="N28" i="17"/>
  <c r="M30" i="17"/>
  <c r="K44" i="17"/>
  <c r="C66" i="19"/>
  <c r="H91" i="17"/>
  <c r="C126" i="19"/>
  <c r="C124" i="19"/>
  <c r="C146" i="19"/>
  <c r="C155" i="19"/>
  <c r="P158" i="19"/>
  <c r="C158" i="19" s="1"/>
  <c r="C95" i="19"/>
  <c r="C102" i="19"/>
  <c r="C107" i="19"/>
  <c r="C139" i="19"/>
  <c r="P130" i="19"/>
  <c r="C130" i="19" s="1"/>
  <c r="C129" i="19"/>
  <c r="P52" i="19"/>
  <c r="C52" i="19" s="1"/>
  <c r="C47" i="19"/>
  <c r="C73" i="19"/>
  <c r="I83" i="17"/>
  <c r="I89" i="17" s="1"/>
  <c r="P30" i="10"/>
  <c r="O38" i="10"/>
  <c r="L26" i="11" s="1"/>
  <c r="L25" i="20" s="1"/>
  <c r="K5" i="17"/>
  <c r="P29" i="17"/>
  <c r="P39" i="17"/>
  <c r="L42" i="17"/>
  <c r="M38" i="17"/>
  <c r="M81" i="17"/>
  <c r="L58" i="17"/>
  <c r="M55" i="17"/>
  <c r="M87" i="17"/>
  <c r="N76" i="17"/>
  <c r="M77" i="17"/>
  <c r="L66" i="17"/>
  <c r="L23" i="17"/>
  <c r="N73" i="17"/>
  <c r="O69" i="17"/>
  <c r="J60" i="1"/>
  <c r="J59" i="1"/>
  <c r="C12" i="9"/>
  <c r="C11" i="9"/>
  <c r="C10" i="9"/>
  <c r="C9" i="9"/>
  <c r="M52" i="17" l="1"/>
  <c r="N50" i="17"/>
  <c r="D93" i="15"/>
  <c r="D160" i="19"/>
  <c r="J93" i="15"/>
  <c r="J160" i="19"/>
  <c r="J103" i="15" s="1"/>
  <c r="E162" i="19"/>
  <c r="E108" i="15" s="1"/>
  <c r="E103" i="15"/>
  <c r="O56" i="19"/>
  <c r="O150" i="19" s="1"/>
  <c r="O18" i="15"/>
  <c r="N160" i="19"/>
  <c r="N103" i="15" s="1"/>
  <c r="L160" i="19"/>
  <c r="L103" i="15" s="1"/>
  <c r="L93" i="15"/>
  <c r="P44" i="19"/>
  <c r="C44" i="19" s="1"/>
  <c r="L12" i="17"/>
  <c r="K14" i="17"/>
  <c r="K25" i="17" s="1"/>
  <c r="K46" i="17" s="1"/>
  <c r="P148" i="19"/>
  <c r="L44" i="17"/>
  <c r="C70" i="19"/>
  <c r="P54" i="19"/>
  <c r="F162" i="19"/>
  <c r="N34" i="17"/>
  <c r="O28" i="17"/>
  <c r="N30" i="17"/>
  <c r="M32" i="17"/>
  <c r="M35" i="17" s="1"/>
  <c r="I91" i="17"/>
  <c r="Q30" i="10"/>
  <c r="P38" i="10"/>
  <c r="M26" i="11" s="1"/>
  <c r="M25" i="20" s="1"/>
  <c r="L5" i="17"/>
  <c r="M58" i="17"/>
  <c r="N55" i="17"/>
  <c r="M66" i="17"/>
  <c r="N87" i="17"/>
  <c r="J89" i="17"/>
  <c r="O73" i="17"/>
  <c r="P69" i="17"/>
  <c r="M23" i="17"/>
  <c r="O76" i="17"/>
  <c r="N77" i="17"/>
  <c r="N81" i="17"/>
  <c r="M42" i="17"/>
  <c r="N38" i="17"/>
  <c r="K60" i="1"/>
  <c r="K59" i="1"/>
  <c r="N52" i="17" l="1"/>
  <c r="O50" i="17"/>
  <c r="O52" i="17" s="1"/>
  <c r="D103" i="15"/>
  <c r="D162" i="19"/>
  <c r="D108" i="15" s="1"/>
  <c r="G162" i="19"/>
  <c r="F108" i="15"/>
  <c r="H162" i="19"/>
  <c r="G108" i="15"/>
  <c r="O160" i="19"/>
  <c r="O103" i="15" s="1"/>
  <c r="O93" i="15"/>
  <c r="M12" i="17"/>
  <c r="L14" i="17"/>
  <c r="L25" i="17" s="1"/>
  <c r="L46" i="17" s="1"/>
  <c r="Q148" i="19"/>
  <c r="N32" i="17"/>
  <c r="N35" i="17"/>
  <c r="M44" i="17"/>
  <c r="P28" i="17"/>
  <c r="O34" i="17"/>
  <c r="P34" i="17" s="1"/>
  <c r="O30" i="17"/>
  <c r="J91" i="17"/>
  <c r="Q54" i="19"/>
  <c r="P56" i="19"/>
  <c r="P150" i="19" s="1"/>
  <c r="P93" i="15" s="1"/>
  <c r="K83" i="17"/>
  <c r="K89" i="17" s="1"/>
  <c r="R30" i="10"/>
  <c r="Q38" i="10"/>
  <c r="N26" i="11" s="1"/>
  <c r="N25" i="20" s="1"/>
  <c r="M5" i="17"/>
  <c r="O81" i="17"/>
  <c r="O38" i="17"/>
  <c r="N42" i="17"/>
  <c r="N58" i="17"/>
  <c r="O55" i="17"/>
  <c r="N23" i="17"/>
  <c r="O87" i="17"/>
  <c r="O77" i="17"/>
  <c r="P76" i="17"/>
  <c r="P73" i="17"/>
  <c r="N66" i="17"/>
  <c r="L60" i="1"/>
  <c r="L59" i="1"/>
  <c r="I162" i="19" l="1"/>
  <c r="H108" i="15"/>
  <c r="N12" i="17"/>
  <c r="M14" i="17"/>
  <c r="N44" i="17"/>
  <c r="K91" i="17"/>
  <c r="O32" i="17"/>
  <c r="P32" i="17" s="1"/>
  <c r="O35" i="17"/>
  <c r="P30" i="17"/>
  <c r="C56" i="19"/>
  <c r="Q56" i="19"/>
  <c r="L83" i="17"/>
  <c r="L89" i="17" s="1"/>
  <c r="R38" i="10"/>
  <c r="S30" i="10"/>
  <c r="N5" i="17"/>
  <c r="M25" i="17"/>
  <c r="M46" i="17" s="1"/>
  <c r="P77" i="17"/>
  <c r="O42" i="17"/>
  <c r="P38" i="17"/>
  <c r="P87" i="17"/>
  <c r="O58" i="17"/>
  <c r="P55" i="17"/>
  <c r="P81" i="17"/>
  <c r="O66" i="17"/>
  <c r="M60" i="1"/>
  <c r="M59" i="1"/>
  <c r="J162" i="19" l="1"/>
  <c r="I108" i="15"/>
  <c r="O12" i="17"/>
  <c r="N14" i="17"/>
  <c r="N25" i="17" s="1"/>
  <c r="N46" i="17" s="1"/>
  <c r="P35" i="17"/>
  <c r="O44" i="17"/>
  <c r="L91" i="17"/>
  <c r="S38" i="10"/>
  <c r="O26" i="11"/>
  <c r="C150" i="19"/>
  <c r="Q150" i="19"/>
  <c r="P160" i="19"/>
  <c r="M83" i="17"/>
  <c r="M89" i="17" s="1"/>
  <c r="O5" i="17"/>
  <c r="P66" i="17"/>
  <c r="P58" i="17"/>
  <c r="O23" i="17"/>
  <c r="P17" i="17"/>
  <c r="P42" i="17"/>
  <c r="N60" i="1"/>
  <c r="N59" i="1"/>
  <c r="P138" i="11"/>
  <c r="E74" i="11"/>
  <c r="E88" i="1"/>
  <c r="F88" i="1" s="1"/>
  <c r="E58" i="1"/>
  <c r="F58" i="1" s="1"/>
  <c r="C160" i="19" l="1"/>
  <c r="P103" i="15"/>
  <c r="K162" i="19"/>
  <c r="J108" i="15"/>
  <c r="O14" i="17"/>
  <c r="O25" i="17" s="1"/>
  <c r="O46" i="17" s="1"/>
  <c r="O83" i="17" s="1"/>
  <c r="P12" i="17"/>
  <c r="M91" i="17"/>
  <c r="G58" i="1"/>
  <c r="F74" i="11"/>
  <c r="E73" i="20"/>
  <c r="O25" i="20"/>
  <c r="P25" i="20" s="1"/>
  <c r="P26" i="11"/>
  <c r="N83" i="17"/>
  <c r="N89" i="17" s="1"/>
  <c r="P5" i="17"/>
  <c r="P23" i="17"/>
  <c r="P44" i="17"/>
  <c r="O60" i="1"/>
  <c r="O59" i="1"/>
  <c r="P59" i="1" s="1"/>
  <c r="G88" i="1"/>
  <c r="H88" i="1" s="1"/>
  <c r="I88" i="1" s="1"/>
  <c r="J88" i="1" s="1"/>
  <c r="K88" i="1" s="1"/>
  <c r="L88" i="1" s="1"/>
  <c r="M88" i="1" s="1"/>
  <c r="N88" i="1" s="1"/>
  <c r="O88" i="1" s="1"/>
  <c r="P14" i="17" l="1"/>
  <c r="L162" i="19"/>
  <c r="K108" i="15"/>
  <c r="C49" i="17"/>
  <c r="C11" i="17"/>
  <c r="C10" i="17"/>
  <c r="C13" i="17"/>
  <c r="C8" i="17"/>
  <c r="C7" i="17"/>
  <c r="N91" i="17"/>
  <c r="H58" i="1"/>
  <c r="G74" i="11"/>
  <c r="F73" i="20"/>
  <c r="C42" i="17"/>
  <c r="C39" i="17"/>
  <c r="IV14" i="17"/>
  <c r="P25" i="17"/>
  <c r="C25" i="17" s="1"/>
  <c r="O89" i="17"/>
  <c r="P46" i="17"/>
  <c r="P83" i="17" s="1"/>
  <c r="P60" i="1"/>
  <c r="P75" i="11"/>
  <c r="P88" i="1"/>
  <c r="C9" i="17" l="1"/>
  <c r="C22" i="17"/>
  <c r="C6" i="17"/>
  <c r="C63" i="17"/>
  <c r="C58" i="17"/>
  <c r="C73" i="17"/>
  <c r="C28" i="17"/>
  <c r="C14" i="17"/>
  <c r="C32" i="17"/>
  <c r="C33" i="17"/>
  <c r="C87" i="17"/>
  <c r="C18" i="17"/>
  <c r="C50" i="17"/>
  <c r="C5" i="17"/>
  <c r="C71" i="17"/>
  <c r="C52" i="17"/>
  <c r="C20" i="17"/>
  <c r="C76" i="17"/>
  <c r="C69" i="17"/>
  <c r="C72" i="17"/>
  <c r="C34" i="17"/>
  <c r="C56" i="17"/>
  <c r="C86" i="17"/>
  <c r="C31" i="17"/>
  <c r="C38" i="17"/>
  <c r="C55" i="17"/>
  <c r="C77" i="17"/>
  <c r="C30" i="17"/>
  <c r="C66" i="17"/>
  <c r="C61" i="17"/>
  <c r="C29" i="17"/>
  <c r="C51" i="17"/>
  <c r="C62" i="17"/>
  <c r="C57" i="17"/>
  <c r="C65" i="17"/>
  <c r="C81" i="17"/>
  <c r="C41" i="17"/>
  <c r="C80" i="17"/>
  <c r="C19" i="17"/>
  <c r="C40" i="17"/>
  <c r="C21" i="17"/>
  <c r="C70" i="17"/>
  <c r="C12" i="17"/>
  <c r="C35" i="17"/>
  <c r="C64" i="17"/>
  <c r="C17" i="17"/>
  <c r="Q23" i="17"/>
  <c r="C23" i="17"/>
  <c r="M162" i="19"/>
  <c r="L108" i="15"/>
  <c r="O91" i="17"/>
  <c r="P91" i="17" s="1"/>
  <c r="I58" i="1"/>
  <c r="H74" i="11"/>
  <c r="G73" i="20"/>
  <c r="C46" i="17"/>
  <c r="J58" i="1"/>
  <c r="N162" i="19" l="1"/>
  <c r="M108" i="15"/>
  <c r="I74" i="11"/>
  <c r="H73" i="20"/>
  <c r="P89" i="17"/>
  <c r="C89" i="17" s="1"/>
  <c r="Q83" i="17"/>
  <c r="C83" i="17"/>
  <c r="K58" i="1"/>
  <c r="E96" i="1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E56" i="1"/>
  <c r="E57" i="1"/>
  <c r="F57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N108" i="15" l="1"/>
  <c r="O162" i="19"/>
  <c r="E65" i="1"/>
  <c r="F56" i="1"/>
  <c r="F65" i="1" s="1"/>
  <c r="F96" i="11"/>
  <c r="E95" i="20"/>
  <c r="J74" i="11"/>
  <c r="I73" i="20"/>
  <c r="P102" i="1"/>
  <c r="L58" i="1"/>
  <c r="G57" i="1"/>
  <c r="H57" i="1" s="1"/>
  <c r="I57" i="1" s="1"/>
  <c r="J57" i="1" s="1"/>
  <c r="K57" i="1" s="1"/>
  <c r="G6" i="10"/>
  <c r="G21" i="10" s="1"/>
  <c r="P162" i="19" l="1"/>
  <c r="P108" i="15" s="1"/>
  <c r="O108" i="15"/>
  <c r="G56" i="1"/>
  <c r="G65" i="1" s="1"/>
  <c r="M57" i="1"/>
  <c r="N57" i="1" s="1"/>
  <c r="O57" i="1" s="1"/>
  <c r="K74" i="11"/>
  <c r="J73" i="20"/>
  <c r="G96" i="11"/>
  <c r="F95" i="20"/>
  <c r="G24" i="10"/>
  <c r="G20" i="10"/>
  <c r="M58" i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H56" i="1" l="1"/>
  <c r="H65" i="1" s="1"/>
  <c r="P57" i="1"/>
  <c r="H96" i="11"/>
  <c r="G95" i="20"/>
  <c r="L74" i="11"/>
  <c r="K73" i="20"/>
  <c r="N58" i="1"/>
  <c r="O27" i="10"/>
  <c r="Q27" i="10"/>
  <c r="N27" i="10"/>
  <c r="H27" i="10"/>
  <c r="G28" i="10"/>
  <c r="G33" i="10" s="1"/>
  <c r="L27" i="10"/>
  <c r="R27" i="10"/>
  <c r="P27" i="10"/>
  <c r="J27" i="10"/>
  <c r="K27" i="10"/>
  <c r="I27" i="10"/>
  <c r="M27" i="10"/>
  <c r="H5" i="9"/>
  <c r="I5" i="9"/>
  <c r="J5" i="9"/>
  <c r="K5" i="9"/>
  <c r="L5" i="9"/>
  <c r="M5" i="9"/>
  <c r="N5" i="9"/>
  <c r="O5" i="9"/>
  <c r="P5" i="9"/>
  <c r="Q5" i="9"/>
  <c r="R5" i="9"/>
  <c r="H6" i="9"/>
  <c r="H42" i="9" s="1"/>
  <c r="I6" i="9"/>
  <c r="I42" i="9" s="1"/>
  <c r="J6" i="9"/>
  <c r="J42" i="9" s="1"/>
  <c r="K6" i="9"/>
  <c r="K42" i="9" s="1"/>
  <c r="L6" i="9"/>
  <c r="L42" i="9" s="1"/>
  <c r="M6" i="9"/>
  <c r="M42" i="9" s="1"/>
  <c r="N6" i="9"/>
  <c r="N42" i="9" s="1"/>
  <c r="O6" i="9"/>
  <c r="O42" i="9" s="1"/>
  <c r="P6" i="9"/>
  <c r="P42" i="9" s="1"/>
  <c r="Q6" i="9"/>
  <c r="Q42" i="9" s="1"/>
  <c r="R6" i="9"/>
  <c r="R42" i="9" s="1"/>
  <c r="H7" i="9"/>
  <c r="I7" i="9"/>
  <c r="J7" i="9"/>
  <c r="K7" i="9"/>
  <c r="L7" i="9"/>
  <c r="M7" i="9"/>
  <c r="N7" i="9"/>
  <c r="O7" i="9"/>
  <c r="P7" i="9"/>
  <c r="Q7" i="9"/>
  <c r="R7" i="9"/>
  <c r="H9" i="9"/>
  <c r="I9" i="9"/>
  <c r="J9" i="9"/>
  <c r="K9" i="9"/>
  <c r="L9" i="9"/>
  <c r="M9" i="9"/>
  <c r="N9" i="9"/>
  <c r="O9" i="9"/>
  <c r="P9" i="9"/>
  <c r="Q9" i="9"/>
  <c r="R9" i="9"/>
  <c r="H10" i="9"/>
  <c r="I10" i="9"/>
  <c r="J10" i="9"/>
  <c r="K10" i="9"/>
  <c r="L10" i="9"/>
  <c r="M10" i="9"/>
  <c r="N10" i="9"/>
  <c r="O10" i="9"/>
  <c r="P10" i="9"/>
  <c r="Q10" i="9"/>
  <c r="R10" i="9"/>
  <c r="H11" i="9"/>
  <c r="I11" i="9"/>
  <c r="J11" i="9"/>
  <c r="K11" i="9"/>
  <c r="L11" i="9"/>
  <c r="M11" i="9"/>
  <c r="N11" i="9"/>
  <c r="O11" i="9"/>
  <c r="P11" i="9"/>
  <c r="Q11" i="9"/>
  <c r="R11" i="9"/>
  <c r="H12" i="9"/>
  <c r="I12" i="9"/>
  <c r="J12" i="9"/>
  <c r="K12" i="9"/>
  <c r="L12" i="9"/>
  <c r="M12" i="9"/>
  <c r="N12" i="9"/>
  <c r="O12" i="9"/>
  <c r="P12" i="9"/>
  <c r="Q12" i="9"/>
  <c r="R12" i="9"/>
  <c r="G6" i="9"/>
  <c r="G42" i="9" s="1"/>
  <c r="G7" i="9"/>
  <c r="G5" i="9"/>
  <c r="E137" i="11"/>
  <c r="D87" i="11"/>
  <c r="E86" i="11"/>
  <c r="E85" i="20" s="1"/>
  <c r="D78" i="11"/>
  <c r="E76" i="11"/>
  <c r="E72" i="11"/>
  <c r="E71" i="20" s="1"/>
  <c r="E141" i="11"/>
  <c r="E35" i="11"/>
  <c r="E30" i="1"/>
  <c r="F30" i="1" s="1"/>
  <c r="G30" i="1" s="1"/>
  <c r="H30" i="1" s="1"/>
  <c r="I30" i="1" s="1"/>
  <c r="J30" i="1" s="1"/>
  <c r="K30" i="1" s="1"/>
  <c r="L30" i="1" s="1"/>
  <c r="E44" i="11"/>
  <c r="D157" i="11"/>
  <c r="E156" i="1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E155" i="11"/>
  <c r="E154" i="11"/>
  <c r="F154" i="11" s="1"/>
  <c r="G154" i="11" s="1"/>
  <c r="H154" i="11" s="1"/>
  <c r="I154" i="11" s="1"/>
  <c r="J154" i="11" s="1"/>
  <c r="K154" i="11" s="1"/>
  <c r="L154" i="11" s="1"/>
  <c r="M154" i="11" s="1"/>
  <c r="N154" i="11" s="1"/>
  <c r="O154" i="11" s="1"/>
  <c r="E153" i="11"/>
  <c r="D146" i="11"/>
  <c r="E145" i="11"/>
  <c r="E146" i="11" s="1"/>
  <c r="D142" i="11"/>
  <c r="E140" i="11"/>
  <c r="E139" i="11"/>
  <c r="D134" i="11"/>
  <c r="E133" i="11"/>
  <c r="E132" i="20" s="1"/>
  <c r="D130" i="11"/>
  <c r="E129" i="11"/>
  <c r="D126" i="11"/>
  <c r="E125" i="11"/>
  <c r="E124" i="11"/>
  <c r="E123" i="11"/>
  <c r="D120" i="11"/>
  <c r="E119" i="11"/>
  <c r="E118" i="11"/>
  <c r="E117" i="11"/>
  <c r="E116" i="11"/>
  <c r="D113" i="11"/>
  <c r="E112" i="11"/>
  <c r="E110" i="11"/>
  <c r="E109" i="20" s="1"/>
  <c r="E109" i="11"/>
  <c r="D106" i="11"/>
  <c r="E105" i="11"/>
  <c r="E104" i="11"/>
  <c r="E103" i="11"/>
  <c r="E102" i="11"/>
  <c r="E101" i="11"/>
  <c r="D98" i="11"/>
  <c r="E97" i="11"/>
  <c r="E95" i="11"/>
  <c r="E94" i="11"/>
  <c r="D91" i="11"/>
  <c r="E90" i="11"/>
  <c r="E91" i="11" s="1"/>
  <c r="E85" i="11"/>
  <c r="E84" i="11"/>
  <c r="E82" i="11"/>
  <c r="E81" i="11"/>
  <c r="E68" i="11"/>
  <c r="E67" i="11"/>
  <c r="D62" i="11"/>
  <c r="E61" i="11"/>
  <c r="E60" i="11"/>
  <c r="E59" i="11"/>
  <c r="E58" i="11"/>
  <c r="D55" i="11"/>
  <c r="E54" i="11"/>
  <c r="P46" i="11"/>
  <c r="E141" i="1"/>
  <c r="F141" i="1" s="1"/>
  <c r="G141" i="1" s="1"/>
  <c r="H141" i="1" s="1"/>
  <c r="I141" i="1" s="1"/>
  <c r="J141" i="1" s="1"/>
  <c r="K141" i="1" s="1"/>
  <c r="L141" i="1" s="1"/>
  <c r="M141" i="1" s="1"/>
  <c r="E142" i="1"/>
  <c r="F142" i="1" s="1"/>
  <c r="G142" i="1" s="1"/>
  <c r="H142" i="1" s="1"/>
  <c r="D132" i="1"/>
  <c r="D87" i="15" s="1"/>
  <c r="E131" i="1"/>
  <c r="E132" i="1" s="1"/>
  <c r="E87" i="15" s="1"/>
  <c r="D128" i="1"/>
  <c r="D82" i="15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E127" i="1"/>
  <c r="E125" i="1"/>
  <c r="F125" i="1" s="1"/>
  <c r="G125" i="1" s="1"/>
  <c r="H125" i="1" s="1"/>
  <c r="E124" i="1"/>
  <c r="F124" i="1" s="1"/>
  <c r="D121" i="1"/>
  <c r="D77" i="15" s="1"/>
  <c r="E119" i="1"/>
  <c r="E121" i="1" s="1"/>
  <c r="E77" i="15" s="1"/>
  <c r="D116" i="1"/>
  <c r="D72" i="15" s="1"/>
  <c r="E115" i="1"/>
  <c r="D112" i="1"/>
  <c r="D67" i="15" s="1"/>
  <c r="E111" i="1"/>
  <c r="F111" i="1" s="1"/>
  <c r="G111" i="1" s="1"/>
  <c r="H111" i="1" s="1"/>
  <c r="E110" i="1"/>
  <c r="F110" i="1" s="1"/>
  <c r="G110" i="1" s="1"/>
  <c r="E109" i="1"/>
  <c r="D106" i="1"/>
  <c r="D62" i="15" s="1"/>
  <c r="E105" i="1"/>
  <c r="E104" i="1"/>
  <c r="F104" i="1" s="1"/>
  <c r="E103" i="1"/>
  <c r="D99" i="1"/>
  <c r="D57" i="15" s="1"/>
  <c r="D92" i="1"/>
  <c r="D52" i="15" s="1"/>
  <c r="D84" i="1"/>
  <c r="D47" i="15" s="1"/>
  <c r="D77" i="1"/>
  <c r="D42" i="15" s="1"/>
  <c r="D143" i="1"/>
  <c r="D97" i="15" s="1"/>
  <c r="E140" i="1"/>
  <c r="F140" i="1" s="1"/>
  <c r="E139" i="1"/>
  <c r="F139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E97" i="1"/>
  <c r="F97" i="1" s="1"/>
  <c r="G97" i="1" s="1"/>
  <c r="E96" i="1"/>
  <c r="F96" i="1" s="1"/>
  <c r="E95" i="1"/>
  <c r="E91" i="1"/>
  <c r="F91" i="1" s="1"/>
  <c r="G91" i="1" s="1"/>
  <c r="E90" i="1"/>
  <c r="F90" i="1" s="1"/>
  <c r="G90" i="1" s="1"/>
  <c r="H90" i="1" s="1"/>
  <c r="I90" i="1" s="1"/>
  <c r="J90" i="1" s="1"/>
  <c r="E89" i="1"/>
  <c r="E87" i="1"/>
  <c r="F87" i="1" s="1"/>
  <c r="E83" i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E80" i="1"/>
  <c r="F80" i="1" s="1"/>
  <c r="G80" i="1" s="1"/>
  <c r="E42" i="1"/>
  <c r="F42" i="1" s="1"/>
  <c r="G42" i="1" s="1"/>
  <c r="H42" i="1" s="1"/>
  <c r="I42" i="1" s="1"/>
  <c r="P34" i="1"/>
  <c r="D73" i="1"/>
  <c r="D37" i="15" s="1"/>
  <c r="E72" i="1"/>
  <c r="F72" i="1" s="1"/>
  <c r="G72" i="1" s="1"/>
  <c r="E71" i="1"/>
  <c r="F71" i="1" s="1"/>
  <c r="E69" i="1"/>
  <c r="F69" i="1" s="1"/>
  <c r="G69" i="1" s="1"/>
  <c r="H69" i="1" s="1"/>
  <c r="I69" i="1" s="1"/>
  <c r="J69" i="1" s="1"/>
  <c r="K69" i="1" s="1"/>
  <c r="E68" i="1"/>
  <c r="F68" i="1" s="1"/>
  <c r="G68" i="1" s="1"/>
  <c r="H68" i="1" s="1"/>
  <c r="I68" i="1" s="1"/>
  <c r="J68" i="1" s="1"/>
  <c r="K68" i="1" s="1"/>
  <c r="L68" i="1" s="1"/>
  <c r="E76" i="1"/>
  <c r="E77" i="1" s="1"/>
  <c r="E42" i="15" s="1"/>
  <c r="D32" i="15"/>
  <c r="E51" i="1"/>
  <c r="F51" i="1" s="1"/>
  <c r="G51" i="1" s="1"/>
  <c r="H51" i="1" s="1"/>
  <c r="I51" i="1" s="1"/>
  <c r="K51" i="1" s="1"/>
  <c r="L51" i="1" s="1"/>
  <c r="M51" i="1" s="1"/>
  <c r="N51" i="1" s="1"/>
  <c r="O51" i="1" s="1"/>
  <c r="E49" i="1"/>
  <c r="F49" i="1" s="1"/>
  <c r="G49" i="1" s="1"/>
  <c r="E48" i="1"/>
  <c r="F48" i="1" s="1"/>
  <c r="G48" i="1" s="1"/>
  <c r="H48" i="1" s="1"/>
  <c r="I48" i="1" s="1"/>
  <c r="J48" i="1" s="1"/>
  <c r="K48" i="1" s="1"/>
  <c r="E46" i="1"/>
  <c r="F46" i="1" s="1"/>
  <c r="D43" i="1"/>
  <c r="D22" i="15" s="1"/>
  <c r="D52" i="1"/>
  <c r="E14" i="1"/>
  <c r="F14" i="1" s="1"/>
  <c r="G14" i="1" s="1"/>
  <c r="H14" i="1" s="1"/>
  <c r="I14" i="1" s="1"/>
  <c r="H18" i="10"/>
  <c r="P82" i="1"/>
  <c r="H44" i="9" l="1"/>
  <c r="H43" i="9"/>
  <c r="H39" i="9"/>
  <c r="I44" i="9"/>
  <c r="I39" i="9"/>
  <c r="I43" i="9"/>
  <c r="I48" i="9" s="1"/>
  <c r="F5" i="1" s="1"/>
  <c r="J44" i="9"/>
  <c r="J43" i="9"/>
  <c r="J39" i="9"/>
  <c r="K44" i="9"/>
  <c r="K39" i="9"/>
  <c r="K43" i="9"/>
  <c r="K48" i="9" s="1"/>
  <c r="H5" i="1" s="1"/>
  <c r="L44" i="9"/>
  <c r="L39" i="9"/>
  <c r="L43" i="9"/>
  <c r="M44" i="9"/>
  <c r="M39" i="9"/>
  <c r="M43" i="9"/>
  <c r="N44" i="9"/>
  <c r="N39" i="9"/>
  <c r="N43" i="9"/>
  <c r="N48" i="9" s="1"/>
  <c r="K5" i="1" s="1"/>
  <c r="O44" i="9"/>
  <c r="O39" i="9"/>
  <c r="O43" i="9"/>
  <c r="P43" i="9"/>
  <c r="P48" i="9" s="1"/>
  <c r="M5" i="1" s="1"/>
  <c r="P39" i="9"/>
  <c r="P44" i="9"/>
  <c r="Q43" i="9"/>
  <c r="Q39" i="9"/>
  <c r="Q44" i="9"/>
  <c r="R43" i="9"/>
  <c r="R48" i="9" s="1"/>
  <c r="O5" i="1" s="1"/>
  <c r="R44" i="9"/>
  <c r="R39" i="9"/>
  <c r="G39" i="9"/>
  <c r="G43" i="9"/>
  <c r="G44" i="9"/>
  <c r="I56" i="1"/>
  <c r="I65" i="1" s="1"/>
  <c r="F72" i="11"/>
  <c r="F71" i="20" s="1"/>
  <c r="D27" i="15"/>
  <c r="D134" i="1"/>
  <c r="F58" i="11"/>
  <c r="E57" i="20"/>
  <c r="F82" i="11"/>
  <c r="E81" i="20"/>
  <c r="F104" i="11"/>
  <c r="F106" i="11" s="1"/>
  <c r="E103" i="20"/>
  <c r="F117" i="11"/>
  <c r="E116" i="20"/>
  <c r="F123" i="11"/>
  <c r="E122" i="20"/>
  <c r="F139" i="11"/>
  <c r="E138" i="20"/>
  <c r="F76" i="11"/>
  <c r="E75" i="20"/>
  <c r="F137" i="11"/>
  <c r="E136" i="20"/>
  <c r="Q47" i="9"/>
  <c r="Q48" i="9"/>
  <c r="N5" i="1" s="1"/>
  <c r="M47" i="9"/>
  <c r="M48" i="9"/>
  <c r="J5" i="1" s="1"/>
  <c r="I47" i="9"/>
  <c r="F6" i="1" s="1"/>
  <c r="F13" i="1" s="1"/>
  <c r="F59" i="11"/>
  <c r="E58" i="20"/>
  <c r="F67" i="11"/>
  <c r="E66" i="20"/>
  <c r="F84" i="11"/>
  <c r="F83" i="20" s="1"/>
  <c r="E83" i="20"/>
  <c r="F94" i="11"/>
  <c r="F93" i="20" s="1"/>
  <c r="E93" i="20"/>
  <c r="F101" i="11"/>
  <c r="E100" i="20"/>
  <c r="F105" i="11"/>
  <c r="E104" i="20"/>
  <c r="F112" i="11"/>
  <c r="E111" i="20"/>
  <c r="F118" i="11"/>
  <c r="E117" i="20"/>
  <c r="F140" i="11"/>
  <c r="E139" i="20"/>
  <c r="F141" i="11"/>
  <c r="E140" i="20"/>
  <c r="P47" i="9"/>
  <c r="L48" i="9"/>
  <c r="I5" i="1" s="1"/>
  <c r="L47" i="9"/>
  <c r="I6" i="1" s="1"/>
  <c r="I13" i="1" s="1"/>
  <c r="H48" i="9"/>
  <c r="E5" i="1" s="1"/>
  <c r="H47" i="9"/>
  <c r="M74" i="11"/>
  <c r="L73" i="20"/>
  <c r="F60" i="11"/>
  <c r="E59" i="20"/>
  <c r="F68" i="11"/>
  <c r="F67" i="20" s="1"/>
  <c r="E67" i="20"/>
  <c r="F85" i="11"/>
  <c r="E84" i="20"/>
  <c r="F95" i="11"/>
  <c r="E94" i="20"/>
  <c r="F102" i="11"/>
  <c r="E101" i="20"/>
  <c r="F119" i="11"/>
  <c r="E118" i="20"/>
  <c r="O47" i="9"/>
  <c r="O48" i="9"/>
  <c r="L5" i="1" s="1"/>
  <c r="K47" i="9"/>
  <c r="H6" i="1" s="1"/>
  <c r="H13" i="1" s="1"/>
  <c r="F61" i="11"/>
  <c r="E60" i="20"/>
  <c r="F81" i="11"/>
  <c r="E80" i="20"/>
  <c r="F90" i="11"/>
  <c r="F91" i="11" s="1"/>
  <c r="E89" i="20"/>
  <c r="F97" i="11"/>
  <c r="E96" i="20"/>
  <c r="F103" i="11"/>
  <c r="E102" i="20"/>
  <c r="F109" i="11"/>
  <c r="E108" i="20"/>
  <c r="F116" i="11"/>
  <c r="E115" i="20"/>
  <c r="R47" i="9"/>
  <c r="O6" i="1" s="1"/>
  <c r="O13" i="1" s="1"/>
  <c r="N47" i="9"/>
  <c r="K6" i="1" s="1"/>
  <c r="K13" i="1" s="1"/>
  <c r="J48" i="9"/>
  <c r="G5" i="1" s="1"/>
  <c r="J47" i="9"/>
  <c r="G6" i="1" s="1"/>
  <c r="G13" i="1" s="1"/>
  <c r="I96" i="11"/>
  <c r="H95" i="20"/>
  <c r="D10" i="11"/>
  <c r="D10" i="20" s="1"/>
  <c r="G40" i="10"/>
  <c r="G35" i="10"/>
  <c r="E133" i="20"/>
  <c r="F129" i="11"/>
  <c r="E128" i="20"/>
  <c r="F124" i="11"/>
  <c r="E123" i="20"/>
  <c r="F125" i="11"/>
  <c r="E124" i="20"/>
  <c r="F35" i="11"/>
  <c r="E34" i="20"/>
  <c r="F54" i="11"/>
  <c r="F55" i="11" s="1"/>
  <c r="E53" i="20"/>
  <c r="F44" i="11"/>
  <c r="E43" i="20"/>
  <c r="D24" i="15"/>
  <c r="D148" i="11"/>
  <c r="E55" i="11"/>
  <c r="G34" i="10"/>
  <c r="D12" i="11" s="1"/>
  <c r="D11" i="20" s="1"/>
  <c r="G36" i="10"/>
  <c r="D27" i="11" s="1"/>
  <c r="D49" i="15"/>
  <c r="E32" i="15"/>
  <c r="F131" i="1"/>
  <c r="G131" i="1" s="1"/>
  <c r="G132" i="1" s="1"/>
  <c r="G87" i="15" s="1"/>
  <c r="L28" i="10"/>
  <c r="L33" i="10" s="1"/>
  <c r="I28" i="10"/>
  <c r="I33" i="10" s="1"/>
  <c r="J28" i="10"/>
  <c r="J33" i="10" s="1"/>
  <c r="G31" i="10"/>
  <c r="M28" i="10"/>
  <c r="M33" i="10" s="1"/>
  <c r="O28" i="10"/>
  <c r="O33" i="10" s="1"/>
  <c r="H28" i="10"/>
  <c r="H33" i="10" s="1"/>
  <c r="K28" i="10"/>
  <c r="K33" i="10" s="1"/>
  <c r="P28" i="10"/>
  <c r="P33" i="10" s="1"/>
  <c r="N28" i="10"/>
  <c r="N33" i="10" s="1"/>
  <c r="Q28" i="10"/>
  <c r="Q33" i="10" s="1"/>
  <c r="E143" i="1"/>
  <c r="E97" i="15" s="1"/>
  <c r="E43" i="1"/>
  <c r="E22" i="15" s="1"/>
  <c r="F119" i="1"/>
  <c r="F121" i="1" s="1"/>
  <c r="F77" i="15" s="1"/>
  <c r="F43" i="1"/>
  <c r="F22" i="15" s="1"/>
  <c r="F76" i="1"/>
  <c r="E52" i="1"/>
  <c r="E99" i="1"/>
  <c r="E57" i="15" s="1"/>
  <c r="E142" i="11"/>
  <c r="E130" i="11"/>
  <c r="F145" i="11"/>
  <c r="G145" i="11" s="1"/>
  <c r="G146" i="11" s="1"/>
  <c r="E62" i="11"/>
  <c r="P126" i="1"/>
  <c r="E128" i="1"/>
  <c r="E82" i="15" s="1"/>
  <c r="O58" i="1"/>
  <c r="F52" i="1"/>
  <c r="K40" i="9"/>
  <c r="S15" i="9"/>
  <c r="S14" i="9"/>
  <c r="S6" i="9"/>
  <c r="S13" i="9"/>
  <c r="S12" i="9"/>
  <c r="H37" i="9"/>
  <c r="S7" i="9"/>
  <c r="G68" i="11"/>
  <c r="F153" i="11"/>
  <c r="G153" i="11" s="1"/>
  <c r="E157" i="11"/>
  <c r="F86" i="11"/>
  <c r="P65" i="11"/>
  <c r="P70" i="11"/>
  <c r="E134" i="11"/>
  <c r="F133" i="11"/>
  <c r="F132" i="20" s="1"/>
  <c r="F133" i="20" s="1"/>
  <c r="F155" i="11"/>
  <c r="G155" i="11" s="1"/>
  <c r="H155" i="11" s="1"/>
  <c r="I155" i="11" s="1"/>
  <c r="J155" i="11" s="1"/>
  <c r="K155" i="11" s="1"/>
  <c r="L155" i="11" s="1"/>
  <c r="M155" i="11" s="1"/>
  <c r="N155" i="11" s="1"/>
  <c r="O155" i="11" s="1"/>
  <c r="P156" i="11"/>
  <c r="P154" i="11"/>
  <c r="E126" i="11"/>
  <c r="E120" i="11"/>
  <c r="D64" i="15"/>
  <c r="E113" i="11"/>
  <c r="P111" i="11"/>
  <c r="F110" i="11"/>
  <c r="E106" i="11"/>
  <c r="E98" i="11"/>
  <c r="G84" i="11"/>
  <c r="E87" i="11"/>
  <c r="P69" i="11"/>
  <c r="E78" i="11"/>
  <c r="E112" i="1"/>
  <c r="E67" i="15" s="1"/>
  <c r="P98" i="1"/>
  <c r="S11" i="9"/>
  <c r="P37" i="9"/>
  <c r="G40" i="9"/>
  <c r="P40" i="9"/>
  <c r="L40" i="9"/>
  <c r="H40" i="9"/>
  <c r="K37" i="9"/>
  <c r="K54" i="9" s="1"/>
  <c r="G37" i="9"/>
  <c r="L37" i="9"/>
  <c r="L54" i="9" s="1"/>
  <c r="Q37" i="9"/>
  <c r="M37" i="9"/>
  <c r="I37" i="9"/>
  <c r="I54" i="9" s="1"/>
  <c r="O37" i="9"/>
  <c r="O40" i="9"/>
  <c r="S10" i="9"/>
  <c r="S9" i="9"/>
  <c r="N40" i="9"/>
  <c r="R37" i="9"/>
  <c r="N37" i="9"/>
  <c r="J37" i="9"/>
  <c r="Q40" i="9"/>
  <c r="M40" i="9"/>
  <c r="I40" i="9"/>
  <c r="R40" i="9"/>
  <c r="J40" i="9"/>
  <c r="E73" i="1"/>
  <c r="E37" i="15" s="1"/>
  <c r="F73" i="1"/>
  <c r="F37" i="15" s="1"/>
  <c r="L48" i="1"/>
  <c r="M48" i="1" s="1"/>
  <c r="N48" i="1" s="1"/>
  <c r="O48" i="1" s="1"/>
  <c r="R28" i="10"/>
  <c r="R33" i="10" s="1"/>
  <c r="D89" i="15"/>
  <c r="D99" i="15"/>
  <c r="D69" i="15"/>
  <c r="D39" i="15"/>
  <c r="D74" i="15"/>
  <c r="D44" i="15"/>
  <c r="D84" i="15"/>
  <c r="D59" i="15"/>
  <c r="D34" i="15"/>
  <c r="D79" i="15"/>
  <c r="N141" i="1"/>
  <c r="O141" i="1" s="1"/>
  <c r="M68" i="1"/>
  <c r="N68" i="1" s="1"/>
  <c r="O68" i="1" s="1"/>
  <c r="G87" i="1"/>
  <c r="M30" i="1"/>
  <c r="N30" i="1" s="1"/>
  <c r="O30" i="1" s="1"/>
  <c r="G124" i="1"/>
  <c r="F143" i="1"/>
  <c r="F97" i="15" s="1"/>
  <c r="H110" i="1"/>
  <c r="I110" i="1" s="1"/>
  <c r="J110" i="1" s="1"/>
  <c r="K110" i="1" s="1"/>
  <c r="L110" i="1" s="1"/>
  <c r="M110" i="1" s="1"/>
  <c r="N110" i="1" s="1"/>
  <c r="O110" i="1" s="1"/>
  <c r="I142" i="1"/>
  <c r="J142" i="1" s="1"/>
  <c r="K142" i="1" s="1"/>
  <c r="L142" i="1" s="1"/>
  <c r="M142" i="1" s="1"/>
  <c r="N142" i="1" s="1"/>
  <c r="O142" i="1" s="1"/>
  <c r="P51" i="1"/>
  <c r="K90" i="1"/>
  <c r="L90" i="1" s="1"/>
  <c r="M90" i="1" s="1"/>
  <c r="N90" i="1" s="1"/>
  <c r="O90" i="1" s="1"/>
  <c r="L69" i="1"/>
  <c r="M69" i="1" s="1"/>
  <c r="N69" i="1" s="1"/>
  <c r="O69" i="1" s="1"/>
  <c r="H72" i="1"/>
  <c r="I72" i="1" s="1"/>
  <c r="J72" i="1" s="1"/>
  <c r="K72" i="1" s="1"/>
  <c r="L72" i="1" s="1"/>
  <c r="M72" i="1" s="1"/>
  <c r="N72" i="1" s="1"/>
  <c r="O72" i="1" s="1"/>
  <c r="J14" i="1"/>
  <c r="K14" i="1" s="1"/>
  <c r="L14" i="1" s="1"/>
  <c r="M14" i="1" s="1"/>
  <c r="N14" i="1" s="1"/>
  <c r="O14" i="1" s="1"/>
  <c r="F83" i="1"/>
  <c r="G83" i="1" s="1"/>
  <c r="H83" i="1" s="1"/>
  <c r="I83" i="1" s="1"/>
  <c r="J83" i="1" s="1"/>
  <c r="K83" i="1" s="1"/>
  <c r="L83" i="1" s="1"/>
  <c r="M83" i="1" s="1"/>
  <c r="N83" i="1" s="1"/>
  <c r="O83" i="1" s="1"/>
  <c r="E84" i="1"/>
  <c r="E47" i="15" s="1"/>
  <c r="H91" i="1"/>
  <c r="I91" i="1" s="1"/>
  <c r="J91" i="1" s="1"/>
  <c r="K91" i="1" s="1"/>
  <c r="L91" i="1" s="1"/>
  <c r="M91" i="1" s="1"/>
  <c r="N91" i="1" s="1"/>
  <c r="O91" i="1" s="1"/>
  <c r="H97" i="1"/>
  <c r="I97" i="1" s="1"/>
  <c r="J97" i="1" s="1"/>
  <c r="K97" i="1" s="1"/>
  <c r="L97" i="1" s="1"/>
  <c r="M97" i="1" s="1"/>
  <c r="N97" i="1" s="1"/>
  <c r="O97" i="1" s="1"/>
  <c r="G140" i="1"/>
  <c r="H140" i="1" s="1"/>
  <c r="I140" i="1" s="1"/>
  <c r="J140" i="1" s="1"/>
  <c r="K140" i="1" s="1"/>
  <c r="L140" i="1" s="1"/>
  <c r="M140" i="1" s="1"/>
  <c r="N140" i="1" s="1"/>
  <c r="O140" i="1" s="1"/>
  <c r="D54" i="15"/>
  <c r="F103" i="1"/>
  <c r="E106" i="1"/>
  <c r="E62" i="15" s="1"/>
  <c r="P81" i="1"/>
  <c r="I125" i="1"/>
  <c r="J125" i="1" s="1"/>
  <c r="K125" i="1" s="1"/>
  <c r="L125" i="1" s="1"/>
  <c r="M125" i="1" s="1"/>
  <c r="N125" i="1" s="1"/>
  <c r="O125" i="1" s="1"/>
  <c r="E89" i="15"/>
  <c r="G46" i="1"/>
  <c r="F89" i="1"/>
  <c r="G89" i="1" s="1"/>
  <c r="H89" i="1" s="1"/>
  <c r="I89" i="1" s="1"/>
  <c r="J89" i="1" s="1"/>
  <c r="K89" i="1" s="1"/>
  <c r="L89" i="1" s="1"/>
  <c r="M89" i="1" s="1"/>
  <c r="N89" i="1" s="1"/>
  <c r="O89" i="1" s="1"/>
  <c r="E92" i="1"/>
  <c r="E52" i="15" s="1"/>
  <c r="G96" i="1"/>
  <c r="H96" i="1" s="1"/>
  <c r="I96" i="1" s="1"/>
  <c r="J96" i="1" s="1"/>
  <c r="K96" i="1" s="1"/>
  <c r="L96" i="1" s="1"/>
  <c r="M96" i="1" s="1"/>
  <c r="N96" i="1" s="1"/>
  <c r="O96" i="1" s="1"/>
  <c r="H49" i="1"/>
  <c r="I49" i="1" s="1"/>
  <c r="J49" i="1" s="1"/>
  <c r="K49" i="1" s="1"/>
  <c r="L49" i="1" s="1"/>
  <c r="M49" i="1" s="1"/>
  <c r="N49" i="1" s="1"/>
  <c r="O49" i="1" s="1"/>
  <c r="G71" i="1"/>
  <c r="G139" i="1"/>
  <c r="I111" i="1"/>
  <c r="J111" i="1" s="1"/>
  <c r="K111" i="1" s="1"/>
  <c r="L111" i="1" s="1"/>
  <c r="M111" i="1" s="1"/>
  <c r="N111" i="1" s="1"/>
  <c r="O111" i="1" s="1"/>
  <c r="F115" i="1"/>
  <c r="E116" i="1"/>
  <c r="E72" i="15" s="1"/>
  <c r="F127" i="1"/>
  <c r="G127" i="1" s="1"/>
  <c r="H127" i="1" s="1"/>
  <c r="I127" i="1" s="1"/>
  <c r="J127" i="1" s="1"/>
  <c r="K127" i="1" s="1"/>
  <c r="L127" i="1" s="1"/>
  <c r="M127" i="1" s="1"/>
  <c r="N127" i="1" s="1"/>
  <c r="O127" i="1" s="1"/>
  <c r="H80" i="1"/>
  <c r="F95" i="1"/>
  <c r="F109" i="1"/>
  <c r="G104" i="1"/>
  <c r="H104" i="1" s="1"/>
  <c r="I104" i="1" s="1"/>
  <c r="J104" i="1" s="1"/>
  <c r="K104" i="1" s="1"/>
  <c r="L104" i="1" s="1"/>
  <c r="M104" i="1" s="1"/>
  <c r="N104" i="1" s="1"/>
  <c r="O104" i="1" s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S11" i="10"/>
  <c r="R18" i="10"/>
  <c r="N18" i="10"/>
  <c r="J18" i="10"/>
  <c r="Q18" i="10"/>
  <c r="M18" i="10"/>
  <c r="I18" i="10"/>
  <c r="S6" i="10"/>
  <c r="G18" i="10"/>
  <c r="P18" i="10"/>
  <c r="L18" i="10"/>
  <c r="S9" i="10"/>
  <c r="O18" i="10"/>
  <c r="K18" i="10"/>
  <c r="S10" i="10"/>
  <c r="I34" i="11"/>
  <c r="I33" i="20" s="1"/>
  <c r="S5" i="9"/>
  <c r="F140" i="20" l="1"/>
  <c r="G141" i="11"/>
  <c r="G140" i="20" s="1"/>
  <c r="F94" i="20"/>
  <c r="G95" i="11"/>
  <c r="G94" i="20" s="1"/>
  <c r="F80" i="20"/>
  <c r="G81" i="11"/>
  <c r="F115" i="20"/>
  <c r="F120" i="11"/>
  <c r="F128" i="20"/>
  <c r="F129" i="20" s="1"/>
  <c r="F130" i="11"/>
  <c r="F123" i="20"/>
  <c r="G124" i="11"/>
  <c r="G123" i="20" s="1"/>
  <c r="J56" i="1"/>
  <c r="J65" i="1" s="1"/>
  <c r="K55" i="9"/>
  <c r="F126" i="11"/>
  <c r="F142" i="11"/>
  <c r="F62" i="11"/>
  <c r="D29" i="15"/>
  <c r="F27" i="15"/>
  <c r="E27" i="15"/>
  <c r="E134" i="1"/>
  <c r="F98" i="11"/>
  <c r="G116" i="11"/>
  <c r="G115" i="20" s="1"/>
  <c r="G94" i="11"/>
  <c r="H94" i="11" s="1"/>
  <c r="E79" i="15"/>
  <c r="G86" i="11"/>
  <c r="F85" i="20"/>
  <c r="G109" i="11"/>
  <c r="F108" i="20"/>
  <c r="G97" i="11"/>
  <c r="F96" i="20"/>
  <c r="F97" i="20" s="1"/>
  <c r="G102" i="11"/>
  <c r="F101" i="20"/>
  <c r="G85" i="11"/>
  <c r="F84" i="20"/>
  <c r="G60" i="11"/>
  <c r="F59" i="20"/>
  <c r="G118" i="11"/>
  <c r="F117" i="20"/>
  <c r="G105" i="11"/>
  <c r="F104" i="20"/>
  <c r="G67" i="11"/>
  <c r="F66" i="20"/>
  <c r="G137" i="11"/>
  <c r="F136" i="20"/>
  <c r="G139" i="11"/>
  <c r="F138" i="20"/>
  <c r="G117" i="11"/>
  <c r="F116" i="20"/>
  <c r="E86" i="20"/>
  <c r="E39" i="15" s="1"/>
  <c r="E119" i="20"/>
  <c r="E64" i="15" s="1"/>
  <c r="E90" i="20"/>
  <c r="E44" i="15" s="1"/>
  <c r="E105" i="20"/>
  <c r="E54" i="15" s="1"/>
  <c r="G82" i="11"/>
  <c r="F81" i="20"/>
  <c r="H81" i="11"/>
  <c r="G80" i="20"/>
  <c r="G110" i="11"/>
  <c r="H110" i="11" s="1"/>
  <c r="H109" i="20" s="1"/>
  <c r="F109" i="20"/>
  <c r="H72" i="11"/>
  <c r="G71" i="20"/>
  <c r="G103" i="11"/>
  <c r="F102" i="20"/>
  <c r="G90" i="11"/>
  <c r="F89" i="20"/>
  <c r="F90" i="20" s="1"/>
  <c r="G61" i="11"/>
  <c r="F60" i="20"/>
  <c r="G119" i="11"/>
  <c r="F118" i="20"/>
  <c r="N74" i="11"/>
  <c r="M73" i="20"/>
  <c r="G140" i="11"/>
  <c r="G142" i="11" s="1"/>
  <c r="F139" i="20"/>
  <c r="G112" i="11"/>
  <c r="F111" i="20"/>
  <c r="G101" i="11"/>
  <c r="F100" i="20"/>
  <c r="G59" i="11"/>
  <c r="F58" i="20"/>
  <c r="G76" i="11"/>
  <c r="F75" i="20"/>
  <c r="G123" i="11"/>
  <c r="F122" i="20"/>
  <c r="E61" i="20"/>
  <c r="H84" i="11"/>
  <c r="G83" i="20"/>
  <c r="H68" i="11"/>
  <c r="G67" i="20"/>
  <c r="G129" i="11"/>
  <c r="G128" i="20" s="1"/>
  <c r="G129" i="20" s="1"/>
  <c r="L36" i="10"/>
  <c r="I27" i="11" s="1"/>
  <c r="I26" i="20" s="1"/>
  <c r="I10" i="11"/>
  <c r="I10" i="20" s="1"/>
  <c r="J96" i="11"/>
  <c r="I95" i="20"/>
  <c r="E112" i="20"/>
  <c r="E59" i="15" s="1"/>
  <c r="E97" i="20"/>
  <c r="E49" i="15" s="1"/>
  <c r="E77" i="20"/>
  <c r="E34" i="15" s="1"/>
  <c r="E141" i="20"/>
  <c r="E84" i="15" s="1"/>
  <c r="G104" i="11"/>
  <c r="F103" i="20"/>
  <c r="G58" i="11"/>
  <c r="F57" i="20"/>
  <c r="R31" i="10"/>
  <c r="O10" i="11"/>
  <c r="O10" i="20" s="1"/>
  <c r="R40" i="10"/>
  <c r="O28" i="11" s="1"/>
  <c r="O27" i="20" s="1"/>
  <c r="R35" i="10"/>
  <c r="O14" i="11" s="1"/>
  <c r="O13" i="20" s="1"/>
  <c r="P31" i="10"/>
  <c r="M5" i="11" s="1"/>
  <c r="M10" i="11"/>
  <c r="M10" i="20" s="1"/>
  <c r="P35" i="10"/>
  <c r="M14" i="11" s="1"/>
  <c r="M13" i="20" s="1"/>
  <c r="P40" i="10"/>
  <c r="M28" i="11" s="1"/>
  <c r="M27" i="20" s="1"/>
  <c r="M31" i="10"/>
  <c r="J5" i="11" s="1"/>
  <c r="J10" i="11"/>
  <c r="J10" i="20" s="1"/>
  <c r="M35" i="10"/>
  <c r="J14" i="11" s="1"/>
  <c r="J13" i="20" s="1"/>
  <c r="M40" i="10"/>
  <c r="J28" i="11" s="1"/>
  <c r="J27" i="20" s="1"/>
  <c r="F10" i="11"/>
  <c r="F10" i="20" s="1"/>
  <c r="I35" i="10"/>
  <c r="F14" i="11" s="1"/>
  <c r="F13" i="20" s="1"/>
  <c r="I40" i="10"/>
  <c r="F28" i="11" s="1"/>
  <c r="F27" i="20" s="1"/>
  <c r="I34" i="10"/>
  <c r="F12" i="11" s="1"/>
  <c r="F11" i="20" s="1"/>
  <c r="K31" i="10"/>
  <c r="H5" i="11" s="1"/>
  <c r="H10" i="11"/>
  <c r="H10" i="20" s="1"/>
  <c r="K40" i="10"/>
  <c r="H28" i="11" s="1"/>
  <c r="H27" i="20" s="1"/>
  <c r="K35" i="10"/>
  <c r="H14" i="11" s="1"/>
  <c r="H13" i="20" s="1"/>
  <c r="L31" i="10"/>
  <c r="I5" i="11" s="1"/>
  <c r="Q31" i="10"/>
  <c r="N5" i="11" s="1"/>
  <c r="N10" i="11"/>
  <c r="N10" i="20" s="1"/>
  <c r="Q35" i="10"/>
  <c r="N14" i="11" s="1"/>
  <c r="N13" i="20" s="1"/>
  <c r="Q40" i="10"/>
  <c r="N28" i="11" s="1"/>
  <c r="N27" i="20" s="1"/>
  <c r="H31" i="10"/>
  <c r="E5" i="11" s="1"/>
  <c r="E10" i="11"/>
  <c r="E10" i="20" s="1"/>
  <c r="H35" i="10"/>
  <c r="E14" i="11" s="1"/>
  <c r="E13" i="20" s="1"/>
  <c r="H40" i="10"/>
  <c r="E28" i="11" s="1"/>
  <c r="E27" i="20" s="1"/>
  <c r="L34" i="10"/>
  <c r="I12" i="11" s="1"/>
  <c r="I11" i="20" s="1"/>
  <c r="L35" i="10"/>
  <c r="I14" i="11" s="1"/>
  <c r="I13" i="20" s="1"/>
  <c r="L40" i="10"/>
  <c r="I28" i="11" s="1"/>
  <c r="I27" i="20" s="1"/>
  <c r="R36" i="10"/>
  <c r="O27" i="11" s="1"/>
  <c r="O26" i="20" s="1"/>
  <c r="D14" i="11"/>
  <c r="D13" i="20" s="1"/>
  <c r="K10" i="11"/>
  <c r="K10" i="20" s="1"/>
  <c r="N35" i="10"/>
  <c r="K14" i="11" s="1"/>
  <c r="K13" i="20" s="1"/>
  <c r="N40" i="10"/>
  <c r="K28" i="11" s="1"/>
  <c r="K27" i="20" s="1"/>
  <c r="L10" i="11"/>
  <c r="L10" i="20" s="1"/>
  <c r="O40" i="10"/>
  <c r="L28" i="11" s="1"/>
  <c r="L27" i="20" s="1"/>
  <c r="O35" i="10"/>
  <c r="L14" i="11" s="1"/>
  <c r="L13" i="20" s="1"/>
  <c r="J31" i="10"/>
  <c r="G5" i="11" s="1"/>
  <c r="G10" i="11"/>
  <c r="G10" i="20" s="1"/>
  <c r="J40" i="10"/>
  <c r="G28" i="11" s="1"/>
  <c r="G27" i="20" s="1"/>
  <c r="J35" i="10"/>
  <c r="G14" i="11" s="1"/>
  <c r="G13" i="20" s="1"/>
  <c r="P36" i="10"/>
  <c r="M27" i="11" s="1"/>
  <c r="M26" i="20" s="1"/>
  <c r="D28" i="11"/>
  <c r="D27" i="20" s="1"/>
  <c r="E129" i="20"/>
  <c r="E74" i="15" s="1"/>
  <c r="E125" i="20"/>
  <c r="E69" i="15" s="1"/>
  <c r="G125" i="11"/>
  <c r="F124" i="20"/>
  <c r="I21" i="20"/>
  <c r="M21" i="20"/>
  <c r="D26" i="20"/>
  <c r="O21" i="20"/>
  <c r="E54" i="20"/>
  <c r="G54" i="11"/>
  <c r="F53" i="20"/>
  <c r="F54" i="20" s="1"/>
  <c r="F24" i="15" s="1"/>
  <c r="G44" i="11"/>
  <c r="F43" i="20"/>
  <c r="G35" i="11"/>
  <c r="F34" i="20"/>
  <c r="E148" i="11"/>
  <c r="I45" i="11"/>
  <c r="P34" i="10"/>
  <c r="M12" i="11" s="1"/>
  <c r="M11" i="20" s="1"/>
  <c r="K36" i="10"/>
  <c r="I36" i="10"/>
  <c r="M36" i="10"/>
  <c r="J36" i="10"/>
  <c r="O36" i="10"/>
  <c r="D21" i="20"/>
  <c r="Q36" i="10"/>
  <c r="N36" i="10"/>
  <c r="H36" i="10"/>
  <c r="O34" i="10"/>
  <c r="L12" i="11" s="1"/>
  <c r="L11" i="20" s="1"/>
  <c r="K34" i="10"/>
  <c r="H12" i="11" s="1"/>
  <c r="H11" i="20" s="1"/>
  <c r="H34" i="10"/>
  <c r="N34" i="10"/>
  <c r="K12" i="11" s="1"/>
  <c r="K11" i="20" s="1"/>
  <c r="Q34" i="10"/>
  <c r="N12" i="11" s="1"/>
  <c r="N11" i="20" s="1"/>
  <c r="R34" i="10"/>
  <c r="O12" i="11" s="1"/>
  <c r="O11" i="20" s="1"/>
  <c r="M34" i="10"/>
  <c r="J12" i="11" s="1"/>
  <c r="J11" i="20" s="1"/>
  <c r="J34" i="10"/>
  <c r="G12" i="11" s="1"/>
  <c r="G11" i="20" s="1"/>
  <c r="D5" i="11"/>
  <c r="H131" i="1"/>
  <c r="H132" i="1" s="1"/>
  <c r="H87" i="15" s="1"/>
  <c r="F132" i="1"/>
  <c r="F87" i="15" s="1"/>
  <c r="F32" i="15"/>
  <c r="P125" i="1"/>
  <c r="N31" i="10"/>
  <c r="K5" i="11" s="1"/>
  <c r="O31" i="10"/>
  <c r="L5" i="11" s="1"/>
  <c r="I31" i="10"/>
  <c r="F5" i="11" s="1"/>
  <c r="H145" i="11"/>
  <c r="I145" i="11" s="1"/>
  <c r="F146" i="11"/>
  <c r="G157" i="11"/>
  <c r="P140" i="1"/>
  <c r="P96" i="1"/>
  <c r="G119" i="1"/>
  <c r="H119" i="1" s="1"/>
  <c r="G43" i="1"/>
  <c r="G22" i="15" s="1"/>
  <c r="S37" i="9"/>
  <c r="G47" i="9"/>
  <c r="S42" i="9"/>
  <c r="F84" i="1"/>
  <c r="F47" i="15" s="1"/>
  <c r="P141" i="1"/>
  <c r="G76" i="1"/>
  <c r="F77" i="1"/>
  <c r="F42" i="15" s="1"/>
  <c r="S28" i="10"/>
  <c r="F113" i="11"/>
  <c r="P155" i="11"/>
  <c r="P71" i="11"/>
  <c r="F157" i="11"/>
  <c r="P97" i="1"/>
  <c r="G84" i="1"/>
  <c r="G47" i="15" s="1"/>
  <c r="P89" i="1"/>
  <c r="P58" i="1"/>
  <c r="F87" i="11"/>
  <c r="P73" i="11"/>
  <c r="F134" i="11"/>
  <c r="G133" i="11"/>
  <c r="G132" i="20" s="1"/>
  <c r="G133" i="20" s="1"/>
  <c r="H153" i="11"/>
  <c r="I153" i="11" s="1"/>
  <c r="P38" i="11"/>
  <c r="H141" i="11"/>
  <c r="H140" i="20" s="1"/>
  <c r="H124" i="11"/>
  <c r="H123" i="20" s="1"/>
  <c r="H95" i="11"/>
  <c r="H94" i="20" s="1"/>
  <c r="F78" i="11"/>
  <c r="P91" i="1"/>
  <c r="P48" i="1"/>
  <c r="P15" i="1"/>
  <c r="M34" i="11"/>
  <c r="M33" i="20" s="1"/>
  <c r="O34" i="11"/>
  <c r="O33" i="20" s="1"/>
  <c r="E99" i="15"/>
  <c r="M11" i="1"/>
  <c r="H71" i="1"/>
  <c r="G73" i="1"/>
  <c r="G37" i="15" s="1"/>
  <c r="H46" i="1"/>
  <c r="G52" i="1"/>
  <c r="P83" i="1"/>
  <c r="P104" i="1"/>
  <c r="F112" i="1"/>
  <c r="F67" i="15" s="1"/>
  <c r="G109" i="1"/>
  <c r="F99" i="1"/>
  <c r="F57" i="15" s="1"/>
  <c r="G95" i="1"/>
  <c r="P49" i="1"/>
  <c r="P72" i="1"/>
  <c r="P90" i="1"/>
  <c r="P142" i="1"/>
  <c r="F128" i="1"/>
  <c r="F82" i="15" s="1"/>
  <c r="O11" i="1"/>
  <c r="F116" i="1"/>
  <c r="G115" i="1"/>
  <c r="H139" i="1"/>
  <c r="G143" i="1"/>
  <c r="G97" i="15" s="1"/>
  <c r="H124" i="1"/>
  <c r="G128" i="1"/>
  <c r="G82" i="15" s="1"/>
  <c r="F92" i="1"/>
  <c r="F52" i="15" s="1"/>
  <c r="P105" i="1"/>
  <c r="I80" i="1"/>
  <c r="H84" i="1"/>
  <c r="H47" i="15" s="1"/>
  <c r="P127" i="1"/>
  <c r="P111" i="1"/>
  <c r="P16" i="1"/>
  <c r="F106" i="1"/>
  <c r="G103" i="1"/>
  <c r="P14" i="1"/>
  <c r="P69" i="1"/>
  <c r="P110" i="1"/>
  <c r="P30" i="1"/>
  <c r="G92" i="1"/>
  <c r="H87" i="1"/>
  <c r="P68" i="1"/>
  <c r="O49" i="9"/>
  <c r="E11" i="1"/>
  <c r="K11" i="1"/>
  <c r="L11" i="1"/>
  <c r="H22" i="1"/>
  <c r="H31" i="1" s="1"/>
  <c r="L22" i="1"/>
  <c r="L31" i="1" s="1"/>
  <c r="L6" i="1"/>
  <c r="L13" i="1" s="1"/>
  <c r="E22" i="1"/>
  <c r="E31" i="1" s="1"/>
  <c r="N49" i="9"/>
  <c r="L49" i="9"/>
  <c r="M22" i="1"/>
  <c r="M31" i="1" s="1"/>
  <c r="O22" i="1"/>
  <c r="O31" i="1" s="1"/>
  <c r="K22" i="1"/>
  <c r="K31" i="1" s="1"/>
  <c r="N22" i="1"/>
  <c r="N31" i="1" s="1"/>
  <c r="I22" i="1"/>
  <c r="I31" i="1" s="1"/>
  <c r="N34" i="11"/>
  <c r="N33" i="20" s="1"/>
  <c r="L34" i="11"/>
  <c r="L33" i="20" s="1"/>
  <c r="R49" i="9"/>
  <c r="J22" i="1"/>
  <c r="J31" i="1" s="1"/>
  <c r="I11" i="1"/>
  <c r="J49" i="9"/>
  <c r="S21" i="10"/>
  <c r="G34" i="11"/>
  <c r="G33" i="20" s="1"/>
  <c r="H34" i="11"/>
  <c r="H33" i="20" s="1"/>
  <c r="S18" i="10"/>
  <c r="J34" i="11"/>
  <c r="J33" i="20" s="1"/>
  <c r="F34" i="11"/>
  <c r="F33" i="20" s="1"/>
  <c r="K34" i="11"/>
  <c r="K33" i="20" s="1"/>
  <c r="S20" i="10"/>
  <c r="D34" i="11"/>
  <c r="D33" i="20" s="1"/>
  <c r="E34" i="11"/>
  <c r="E33" i="20" s="1"/>
  <c r="S24" i="10"/>
  <c r="S23" i="10"/>
  <c r="O8" i="1"/>
  <c r="O5" i="15" s="1"/>
  <c r="N6" i="1"/>
  <c r="N13" i="1" s="1"/>
  <c r="Q49" i="9"/>
  <c r="N11" i="1"/>
  <c r="P49" i="9"/>
  <c r="M6" i="1"/>
  <c r="J11" i="1"/>
  <c r="J6" i="1"/>
  <c r="J13" i="1" s="1"/>
  <c r="M49" i="9"/>
  <c r="H11" i="1"/>
  <c r="K49" i="9"/>
  <c r="S40" i="9"/>
  <c r="G11" i="1"/>
  <c r="G22" i="1"/>
  <c r="G31" i="1" s="1"/>
  <c r="F11" i="1"/>
  <c r="F22" i="1"/>
  <c r="F31" i="1" s="1"/>
  <c r="I49" i="9"/>
  <c r="H49" i="9"/>
  <c r="E6" i="1"/>
  <c r="S44" i="9"/>
  <c r="S43" i="9"/>
  <c r="G48" i="9"/>
  <c r="S39" i="9"/>
  <c r="D22" i="1"/>
  <c r="D31" i="1" s="1"/>
  <c r="K56" i="1" l="1"/>
  <c r="K65" i="1" s="1"/>
  <c r="H116" i="11"/>
  <c r="H115" i="20" s="1"/>
  <c r="G120" i="11"/>
  <c r="G126" i="11"/>
  <c r="G87" i="11"/>
  <c r="G130" i="11"/>
  <c r="H129" i="11"/>
  <c r="H128" i="20" s="1"/>
  <c r="H129" i="20" s="1"/>
  <c r="F125" i="20"/>
  <c r="F69" i="15" s="1"/>
  <c r="F86" i="20"/>
  <c r="F39" i="15" s="1"/>
  <c r="E29" i="15"/>
  <c r="P14" i="11"/>
  <c r="F134" i="1"/>
  <c r="G27" i="15"/>
  <c r="F61" i="20"/>
  <c r="F29" i="15" s="1"/>
  <c r="G98" i="11"/>
  <c r="G93" i="20"/>
  <c r="G89" i="15"/>
  <c r="H123" i="11"/>
  <c r="G122" i="20"/>
  <c r="H59" i="11"/>
  <c r="G58" i="20"/>
  <c r="H112" i="11"/>
  <c r="G111" i="20"/>
  <c r="O74" i="11"/>
  <c r="N73" i="20"/>
  <c r="H61" i="11"/>
  <c r="G60" i="20"/>
  <c r="H103" i="11"/>
  <c r="G102" i="20"/>
  <c r="H117" i="11"/>
  <c r="G116" i="20"/>
  <c r="G136" i="20"/>
  <c r="H137" i="11"/>
  <c r="H97" i="11"/>
  <c r="G96" i="20"/>
  <c r="H86" i="11"/>
  <c r="G85" i="20"/>
  <c r="F62" i="15"/>
  <c r="F72" i="15"/>
  <c r="F74" i="15" s="1"/>
  <c r="H104" i="11"/>
  <c r="G103" i="20"/>
  <c r="I84" i="11"/>
  <c r="H83" i="20"/>
  <c r="F105" i="20"/>
  <c r="F54" i="15" s="1"/>
  <c r="F119" i="20"/>
  <c r="I72" i="11"/>
  <c r="H71" i="20"/>
  <c r="I81" i="11"/>
  <c r="H80" i="20"/>
  <c r="F141" i="20"/>
  <c r="F84" i="15" s="1"/>
  <c r="F77" i="20"/>
  <c r="F34" i="15" s="1"/>
  <c r="H105" i="11"/>
  <c r="G104" i="20"/>
  <c r="H60" i="11"/>
  <c r="G59" i="20"/>
  <c r="G101" i="20"/>
  <c r="H102" i="11"/>
  <c r="F112" i="20"/>
  <c r="F59" i="15" s="1"/>
  <c r="K96" i="11"/>
  <c r="J95" i="20"/>
  <c r="G75" i="20"/>
  <c r="H76" i="11"/>
  <c r="G100" i="20"/>
  <c r="H101" i="11"/>
  <c r="G106" i="11"/>
  <c r="H140" i="11"/>
  <c r="G139" i="20"/>
  <c r="H119" i="11"/>
  <c r="G118" i="20"/>
  <c r="H90" i="11"/>
  <c r="G89" i="20"/>
  <c r="G90" i="20" s="1"/>
  <c r="G91" i="11"/>
  <c r="H139" i="11"/>
  <c r="H142" i="11" s="1"/>
  <c r="G138" i="20"/>
  <c r="H67" i="11"/>
  <c r="G66" i="20"/>
  <c r="H109" i="11"/>
  <c r="G108" i="20"/>
  <c r="E147" i="20"/>
  <c r="E24" i="15"/>
  <c r="H58" i="11"/>
  <c r="G57" i="20"/>
  <c r="G62" i="11"/>
  <c r="I68" i="11"/>
  <c r="H67" i="20"/>
  <c r="I94" i="11"/>
  <c r="H93" i="20"/>
  <c r="G113" i="11"/>
  <c r="G109" i="20"/>
  <c r="H82" i="11"/>
  <c r="G81" i="20"/>
  <c r="H118" i="11"/>
  <c r="G117" i="20"/>
  <c r="G84" i="20"/>
  <c r="H85" i="11"/>
  <c r="S35" i="10"/>
  <c r="P28" i="11"/>
  <c r="S33" i="10"/>
  <c r="S40" i="10"/>
  <c r="P13" i="20"/>
  <c r="P27" i="20"/>
  <c r="I28" i="20"/>
  <c r="H125" i="11"/>
  <c r="H126" i="11" s="1"/>
  <c r="G124" i="20"/>
  <c r="G52" i="15"/>
  <c r="N21" i="20"/>
  <c r="N27" i="11"/>
  <c r="N26" i="20" s="1"/>
  <c r="J21" i="20"/>
  <c r="J27" i="11"/>
  <c r="J26" i="20" s="1"/>
  <c r="F21" i="20"/>
  <c r="F27" i="11"/>
  <c r="F26" i="20" s="1"/>
  <c r="E21" i="20"/>
  <c r="E27" i="11"/>
  <c r="L21" i="20"/>
  <c r="L27" i="11"/>
  <c r="L26" i="20" s="1"/>
  <c r="H21" i="20"/>
  <c r="H27" i="11"/>
  <c r="H26" i="20" s="1"/>
  <c r="K21" i="20"/>
  <c r="K27" i="11"/>
  <c r="K26" i="20" s="1"/>
  <c r="G21" i="20"/>
  <c r="G27" i="11"/>
  <c r="G26" i="20" s="1"/>
  <c r="M28" i="20"/>
  <c r="O28" i="20"/>
  <c r="H44" i="11"/>
  <c r="G43" i="20"/>
  <c r="P10" i="20"/>
  <c r="G34" i="20"/>
  <c r="H35" i="11"/>
  <c r="H54" i="11"/>
  <c r="G53" i="20"/>
  <c r="G55" i="11"/>
  <c r="P33" i="20"/>
  <c r="I44" i="20"/>
  <c r="D28" i="20"/>
  <c r="F148" i="11"/>
  <c r="P10" i="11"/>
  <c r="H146" i="11"/>
  <c r="P22" i="11"/>
  <c r="N45" i="11"/>
  <c r="E45" i="11"/>
  <c r="D45" i="11"/>
  <c r="J45" i="11"/>
  <c r="L45" i="11"/>
  <c r="M45" i="11"/>
  <c r="K45" i="11"/>
  <c r="H45" i="11"/>
  <c r="G45" i="11"/>
  <c r="F45" i="11"/>
  <c r="O45" i="11"/>
  <c r="S36" i="10"/>
  <c r="E12" i="11"/>
  <c r="S34" i="10"/>
  <c r="S31" i="10"/>
  <c r="I131" i="1"/>
  <c r="I132" i="1" s="1"/>
  <c r="I87" i="15" s="1"/>
  <c r="F89" i="15"/>
  <c r="G32" i="15"/>
  <c r="H157" i="11"/>
  <c r="I35" i="1"/>
  <c r="M35" i="1"/>
  <c r="E35" i="1"/>
  <c r="N35" i="1"/>
  <c r="G35" i="1"/>
  <c r="K35" i="1"/>
  <c r="L35" i="1"/>
  <c r="D35" i="1"/>
  <c r="F35" i="1"/>
  <c r="J35" i="1"/>
  <c r="O35" i="1"/>
  <c r="H35" i="1"/>
  <c r="D23" i="1"/>
  <c r="D24" i="1" s="1"/>
  <c r="F23" i="1"/>
  <c r="F26" i="1" s="1"/>
  <c r="J23" i="1"/>
  <c r="J24" i="1" s="1"/>
  <c r="J25" i="1" s="1"/>
  <c r="O23" i="1"/>
  <c r="O26" i="1" s="1"/>
  <c r="H23" i="1"/>
  <c r="H26" i="1" s="1"/>
  <c r="I23" i="1"/>
  <c r="I26" i="1" s="1"/>
  <c r="M23" i="1"/>
  <c r="M24" i="1" s="1"/>
  <c r="M25" i="1" s="1"/>
  <c r="E23" i="1"/>
  <c r="E26" i="1" s="1"/>
  <c r="N23" i="1"/>
  <c r="N26" i="1" s="1"/>
  <c r="G23" i="1"/>
  <c r="G24" i="1" s="1"/>
  <c r="G25" i="1" s="1"/>
  <c r="K23" i="1"/>
  <c r="K26" i="1" s="1"/>
  <c r="L23" i="1"/>
  <c r="L26" i="1" s="1"/>
  <c r="G121" i="1"/>
  <c r="G77" i="15" s="1"/>
  <c r="F49" i="15"/>
  <c r="H43" i="1"/>
  <c r="H22" i="15" s="1"/>
  <c r="S45" i="9"/>
  <c r="F79" i="15"/>
  <c r="F44" i="15"/>
  <c r="H76" i="1"/>
  <c r="G77" i="1"/>
  <c r="G42" i="15" s="1"/>
  <c r="O5" i="11"/>
  <c r="H130" i="11"/>
  <c r="I129" i="11"/>
  <c r="I128" i="20" s="1"/>
  <c r="I129" i="20" s="1"/>
  <c r="I110" i="11"/>
  <c r="I109" i="20" s="1"/>
  <c r="I119" i="1"/>
  <c r="H121" i="1"/>
  <c r="H77" i="15" s="1"/>
  <c r="H133" i="11"/>
  <c r="H132" i="20" s="1"/>
  <c r="H133" i="20" s="1"/>
  <c r="G134" i="11"/>
  <c r="S41" i="9"/>
  <c r="J153" i="11"/>
  <c r="I157" i="11"/>
  <c r="I146" i="11"/>
  <c r="J145" i="11"/>
  <c r="I141" i="11"/>
  <c r="I140" i="20" s="1"/>
  <c r="I124" i="11"/>
  <c r="I123" i="20" s="1"/>
  <c r="I116" i="11"/>
  <c r="I115" i="20" s="1"/>
  <c r="H120" i="11"/>
  <c r="H98" i="11"/>
  <c r="I95" i="11"/>
  <c r="I94" i="20" s="1"/>
  <c r="G78" i="11"/>
  <c r="O17" i="1"/>
  <c r="O10" i="15" s="1"/>
  <c r="K8" i="1"/>
  <c r="K5" i="15" s="1"/>
  <c r="F99" i="15"/>
  <c r="I71" i="1"/>
  <c r="H73" i="1"/>
  <c r="H37" i="15" s="1"/>
  <c r="K17" i="1"/>
  <c r="K10" i="15" s="1"/>
  <c r="H115" i="1"/>
  <c r="G116" i="1"/>
  <c r="H92" i="1"/>
  <c r="I87" i="1"/>
  <c r="G106" i="1"/>
  <c r="G62" i="15" s="1"/>
  <c r="H103" i="1"/>
  <c r="J80" i="1"/>
  <c r="I84" i="1"/>
  <c r="I47" i="15" s="1"/>
  <c r="G112" i="1"/>
  <c r="H109" i="1"/>
  <c r="I46" i="1"/>
  <c r="H52" i="1"/>
  <c r="I124" i="1"/>
  <c r="H128" i="1"/>
  <c r="H82" i="15" s="1"/>
  <c r="I139" i="1"/>
  <c r="H143" i="1"/>
  <c r="H97" i="15" s="1"/>
  <c r="H95" i="1"/>
  <c r="G99" i="1"/>
  <c r="G57" i="15" s="1"/>
  <c r="L17" i="1"/>
  <c r="L10" i="15" s="1"/>
  <c r="L8" i="1"/>
  <c r="L5" i="15" s="1"/>
  <c r="I17" i="1"/>
  <c r="I10" i="15" s="1"/>
  <c r="H8" i="1"/>
  <c r="H5" i="15" s="1"/>
  <c r="N17" i="1"/>
  <c r="N10" i="15" s="1"/>
  <c r="H17" i="1"/>
  <c r="H10" i="15" s="1"/>
  <c r="I8" i="1"/>
  <c r="I5" i="15" s="1"/>
  <c r="H36" i="11"/>
  <c r="H39" i="11"/>
  <c r="H38" i="20" s="1"/>
  <c r="S27" i="10"/>
  <c r="P6" i="11"/>
  <c r="G39" i="11"/>
  <c r="G38" i="20" s="1"/>
  <c r="G36" i="11"/>
  <c r="E39" i="11"/>
  <c r="E38" i="20" s="1"/>
  <c r="E36" i="11"/>
  <c r="D36" i="11"/>
  <c r="D35" i="20" s="1"/>
  <c r="D39" i="11"/>
  <c r="D38" i="20" s="1"/>
  <c r="P34" i="11"/>
  <c r="F36" i="11"/>
  <c r="F39" i="11"/>
  <c r="F38" i="20" s="1"/>
  <c r="N8" i="1"/>
  <c r="N5" i="15" s="1"/>
  <c r="M13" i="1"/>
  <c r="M17" i="1" s="1"/>
  <c r="M10" i="15" s="1"/>
  <c r="M8" i="1"/>
  <c r="M5" i="15" s="1"/>
  <c r="J17" i="1"/>
  <c r="J10" i="15" s="1"/>
  <c r="J8" i="1"/>
  <c r="J5" i="15" s="1"/>
  <c r="G8" i="1"/>
  <c r="G5" i="15" s="1"/>
  <c r="G17" i="1"/>
  <c r="G10" i="15" s="1"/>
  <c r="F8" i="1"/>
  <c r="F5" i="15" s="1"/>
  <c r="F17" i="1"/>
  <c r="F10" i="15" s="1"/>
  <c r="E13" i="1"/>
  <c r="E17" i="1" s="1"/>
  <c r="E10" i="15" s="1"/>
  <c r="E8" i="1"/>
  <c r="E5" i="15" s="1"/>
  <c r="P22" i="1"/>
  <c r="D5" i="1"/>
  <c r="S48" i="9"/>
  <c r="G49" i="9"/>
  <c r="D6" i="1"/>
  <c r="S47" i="9"/>
  <c r="H113" i="11" l="1"/>
  <c r="G125" i="20"/>
  <c r="L65" i="1"/>
  <c r="H24" i="1"/>
  <c r="H25" i="1" s="1"/>
  <c r="L24" i="1"/>
  <c r="L25" i="1" s="1"/>
  <c r="F24" i="1"/>
  <c r="F25" i="1" s="1"/>
  <c r="N24" i="1"/>
  <c r="N25" i="1" s="1"/>
  <c r="I24" i="1"/>
  <c r="I25" i="1" s="1"/>
  <c r="E24" i="1"/>
  <c r="E25" i="1" s="1"/>
  <c r="D26" i="1"/>
  <c r="O24" i="1"/>
  <c r="O25" i="1" s="1"/>
  <c r="G97" i="20"/>
  <c r="G49" i="15" s="1"/>
  <c r="K24" i="1"/>
  <c r="K25" i="1" s="1"/>
  <c r="M26" i="1"/>
  <c r="M27" i="1" s="1"/>
  <c r="M37" i="1" s="1"/>
  <c r="M17" i="15" s="1"/>
  <c r="J26" i="1"/>
  <c r="J27" i="1" s="1"/>
  <c r="J37" i="1" s="1"/>
  <c r="J17" i="15" s="1"/>
  <c r="G26" i="1"/>
  <c r="G27" i="1" s="1"/>
  <c r="G37" i="1" s="1"/>
  <c r="G17" i="15" s="1"/>
  <c r="G134" i="1"/>
  <c r="L28" i="20"/>
  <c r="G61" i="20"/>
  <c r="G29" i="15" s="1"/>
  <c r="P21" i="20"/>
  <c r="G105" i="20"/>
  <c r="G54" i="15" s="1"/>
  <c r="H87" i="11"/>
  <c r="J28" i="20"/>
  <c r="J131" i="1"/>
  <c r="J132" i="1" s="1"/>
  <c r="J87" i="15" s="1"/>
  <c r="G28" i="20"/>
  <c r="K28" i="20"/>
  <c r="N28" i="20"/>
  <c r="F147" i="20"/>
  <c r="F64" i="15"/>
  <c r="H28" i="20"/>
  <c r="G141" i="20"/>
  <c r="G84" i="15" s="1"/>
  <c r="I102" i="11"/>
  <c r="H101" i="20"/>
  <c r="I60" i="11"/>
  <c r="H59" i="20"/>
  <c r="I103" i="11"/>
  <c r="H102" i="20"/>
  <c r="I112" i="11"/>
  <c r="H111" i="20"/>
  <c r="H27" i="15"/>
  <c r="I85" i="11"/>
  <c r="H84" i="20"/>
  <c r="I118" i="11"/>
  <c r="H117" i="20"/>
  <c r="I82" i="11"/>
  <c r="H81" i="20"/>
  <c r="J94" i="11"/>
  <c r="I93" i="20"/>
  <c r="G77" i="20"/>
  <c r="G34" i="15" s="1"/>
  <c r="I139" i="11"/>
  <c r="H138" i="20"/>
  <c r="I119" i="11"/>
  <c r="H118" i="20"/>
  <c r="H100" i="20"/>
  <c r="H106" i="11"/>
  <c r="I101" i="11"/>
  <c r="J72" i="11"/>
  <c r="I71" i="20"/>
  <c r="J84" i="11"/>
  <c r="I83" i="20"/>
  <c r="I104" i="11"/>
  <c r="H103" i="20"/>
  <c r="G86" i="20"/>
  <c r="O73" i="20"/>
  <c r="P73" i="20" s="1"/>
  <c r="P74" i="11"/>
  <c r="I123" i="11"/>
  <c r="H122" i="20"/>
  <c r="G72" i="15"/>
  <c r="G74" i="15" s="1"/>
  <c r="G112" i="20"/>
  <c r="G59" i="15" s="1"/>
  <c r="I67" i="11"/>
  <c r="H66" i="20"/>
  <c r="H89" i="20"/>
  <c r="H90" i="20" s="1"/>
  <c r="H91" i="11"/>
  <c r="I90" i="11"/>
  <c r="L96" i="11"/>
  <c r="K95" i="20"/>
  <c r="I97" i="11"/>
  <c r="I98" i="11" s="1"/>
  <c r="H96" i="20"/>
  <c r="H97" i="20" s="1"/>
  <c r="H49" i="15" s="1"/>
  <c r="G119" i="20"/>
  <c r="G64" i="15" s="1"/>
  <c r="H58" i="20"/>
  <c r="I59" i="11"/>
  <c r="G99" i="15"/>
  <c r="J68" i="11"/>
  <c r="I67" i="20"/>
  <c r="I58" i="11"/>
  <c r="H57" i="20"/>
  <c r="H62" i="11"/>
  <c r="H108" i="20"/>
  <c r="I109" i="11"/>
  <c r="I113" i="11" s="1"/>
  <c r="I140" i="11"/>
  <c r="H139" i="20"/>
  <c r="I76" i="11"/>
  <c r="H75" i="20"/>
  <c r="I105" i="11"/>
  <c r="H104" i="20"/>
  <c r="J81" i="11"/>
  <c r="I80" i="20"/>
  <c r="I86" i="11"/>
  <c r="H85" i="20"/>
  <c r="I137" i="11"/>
  <c r="H136" i="20"/>
  <c r="I117" i="11"/>
  <c r="H116" i="20"/>
  <c r="I61" i="11"/>
  <c r="H60" i="20"/>
  <c r="H124" i="20"/>
  <c r="I125" i="11"/>
  <c r="G67" i="15"/>
  <c r="G69" i="15" s="1"/>
  <c r="H52" i="15"/>
  <c r="E26" i="20"/>
  <c r="P26" i="20" s="1"/>
  <c r="P27" i="11"/>
  <c r="G29" i="11"/>
  <c r="F29" i="11"/>
  <c r="F28" i="20"/>
  <c r="O44" i="20"/>
  <c r="J44" i="20"/>
  <c r="F40" i="11"/>
  <c r="F39" i="20" s="1"/>
  <c r="F35" i="20"/>
  <c r="H40" i="11"/>
  <c r="H39" i="20" s="1"/>
  <c r="H35" i="20"/>
  <c r="L44" i="20"/>
  <c r="N44" i="20"/>
  <c r="I35" i="11"/>
  <c r="H34" i="20"/>
  <c r="F47" i="11"/>
  <c r="F44" i="20"/>
  <c r="F46" i="20" s="1"/>
  <c r="K44" i="20"/>
  <c r="D47" i="11"/>
  <c r="D44" i="20"/>
  <c r="G54" i="20"/>
  <c r="E40" i="11"/>
  <c r="E39" i="20" s="1"/>
  <c r="E35" i="20"/>
  <c r="H47" i="11"/>
  <c r="H44" i="20"/>
  <c r="G40" i="11"/>
  <c r="G39" i="20" s="1"/>
  <c r="G35" i="20"/>
  <c r="P12" i="11"/>
  <c r="E11" i="20"/>
  <c r="G47" i="11"/>
  <c r="G44" i="20"/>
  <c r="G46" i="20" s="1"/>
  <c r="M44" i="20"/>
  <c r="E47" i="11"/>
  <c r="E44" i="20"/>
  <c r="E46" i="20" s="1"/>
  <c r="H53" i="20"/>
  <c r="H54" i="20" s="1"/>
  <c r="H55" i="11"/>
  <c r="I54" i="11"/>
  <c r="I44" i="11"/>
  <c r="H43" i="20"/>
  <c r="G148" i="11"/>
  <c r="E29" i="11"/>
  <c r="H32" i="15"/>
  <c r="F27" i="1"/>
  <c r="F37" i="1" s="1"/>
  <c r="F17" i="15" s="1"/>
  <c r="P23" i="1"/>
  <c r="G79" i="15"/>
  <c r="J42" i="1"/>
  <c r="I43" i="1"/>
  <c r="I22" i="15" s="1"/>
  <c r="G44" i="15"/>
  <c r="K131" i="1"/>
  <c r="H77" i="1"/>
  <c r="H42" i="15" s="1"/>
  <c r="I76" i="1"/>
  <c r="I130" i="11"/>
  <c r="J129" i="11"/>
  <c r="J128" i="20" s="1"/>
  <c r="J129" i="20" s="1"/>
  <c r="J110" i="11"/>
  <c r="J109" i="20" s="1"/>
  <c r="I121" i="1"/>
  <c r="I77" i="15" s="1"/>
  <c r="J119" i="1"/>
  <c r="O19" i="1"/>
  <c r="H29" i="11"/>
  <c r="I133" i="11"/>
  <c r="I132" i="20" s="1"/>
  <c r="I133" i="20" s="1"/>
  <c r="H134" i="11"/>
  <c r="H79" i="15" s="1"/>
  <c r="J157" i="11"/>
  <c r="K153" i="11"/>
  <c r="K145" i="11"/>
  <c r="J146" i="11"/>
  <c r="J141" i="11"/>
  <c r="J140" i="20" s="1"/>
  <c r="I142" i="11"/>
  <c r="J124" i="11"/>
  <c r="J123" i="20" s="1"/>
  <c r="I120" i="11"/>
  <c r="J116" i="11"/>
  <c r="J115" i="20" s="1"/>
  <c r="J95" i="11"/>
  <c r="J94" i="20" s="1"/>
  <c r="H78" i="11"/>
  <c r="K19" i="1"/>
  <c r="F7" i="11"/>
  <c r="H89" i="15"/>
  <c r="I109" i="1"/>
  <c r="H112" i="1"/>
  <c r="H67" i="15" s="1"/>
  <c r="I95" i="1"/>
  <c r="H99" i="1"/>
  <c r="H57" i="15" s="1"/>
  <c r="K80" i="1"/>
  <c r="J84" i="1"/>
  <c r="J47" i="15" s="1"/>
  <c r="J124" i="1"/>
  <c r="I128" i="1"/>
  <c r="I82" i="15" s="1"/>
  <c r="I92" i="1"/>
  <c r="J87" i="1"/>
  <c r="J71" i="1"/>
  <c r="I73" i="1"/>
  <c r="I37" i="15" s="1"/>
  <c r="J139" i="1"/>
  <c r="I143" i="1"/>
  <c r="I97" i="15" s="1"/>
  <c r="J46" i="1"/>
  <c r="I52" i="1"/>
  <c r="I103" i="1"/>
  <c r="H106" i="1"/>
  <c r="I115" i="1"/>
  <c r="H116" i="1"/>
  <c r="H19" i="1"/>
  <c r="L19" i="1"/>
  <c r="H7" i="11"/>
  <c r="H5" i="20" s="1"/>
  <c r="H7" i="20" s="1"/>
  <c r="E7" i="11"/>
  <c r="P45" i="11"/>
  <c r="G7" i="11"/>
  <c r="I19" i="1"/>
  <c r="D40" i="11"/>
  <c r="P37" i="11"/>
  <c r="P5" i="11"/>
  <c r="D7" i="11"/>
  <c r="D5" i="20" s="1"/>
  <c r="N19" i="1"/>
  <c r="M19" i="1"/>
  <c r="J19" i="1"/>
  <c r="G19" i="1"/>
  <c r="P31" i="1"/>
  <c r="P35" i="1" s="1"/>
  <c r="F19" i="1"/>
  <c r="E19" i="1"/>
  <c r="S49" i="9"/>
  <c r="D13" i="1"/>
  <c r="P13" i="1" s="1"/>
  <c r="P6" i="1"/>
  <c r="D11" i="1"/>
  <c r="P5" i="1"/>
  <c r="D8" i="1"/>
  <c r="D25" i="1"/>
  <c r="I87" i="11" l="1"/>
  <c r="Q13" i="1"/>
  <c r="H86" i="20"/>
  <c r="L27" i="1"/>
  <c r="L37" i="1" s="1"/>
  <c r="L17" i="15" s="1"/>
  <c r="M56" i="1"/>
  <c r="M65" i="1" s="1"/>
  <c r="K27" i="1"/>
  <c r="K37" i="1" s="1"/>
  <c r="K17" i="15" s="1"/>
  <c r="I27" i="1"/>
  <c r="I37" i="1" s="1"/>
  <c r="I17" i="15" s="1"/>
  <c r="H27" i="1"/>
  <c r="H37" i="1" s="1"/>
  <c r="H17" i="15" s="1"/>
  <c r="H134" i="1"/>
  <c r="P24" i="1"/>
  <c r="N27" i="1"/>
  <c r="N37" i="1" s="1"/>
  <c r="N17" i="15" s="1"/>
  <c r="O27" i="1"/>
  <c r="O37" i="1" s="1"/>
  <c r="O17" i="15" s="1"/>
  <c r="E27" i="1"/>
  <c r="E37" i="1" s="1"/>
  <c r="E17" i="15" s="1"/>
  <c r="D27" i="1"/>
  <c r="D37" i="1" s="1"/>
  <c r="D17" i="15" s="1"/>
  <c r="P26" i="1"/>
  <c r="I126" i="11"/>
  <c r="H119" i="20"/>
  <c r="H24" i="15"/>
  <c r="H112" i="20"/>
  <c r="H59" i="15" s="1"/>
  <c r="G41" i="11"/>
  <c r="G49" i="11" s="1"/>
  <c r="I27" i="15"/>
  <c r="G39" i="15"/>
  <c r="G12" i="15"/>
  <c r="E41" i="11"/>
  <c r="E49" i="11" s="1"/>
  <c r="H41" i="11"/>
  <c r="H49" i="11" s="1"/>
  <c r="H99" i="15"/>
  <c r="G147" i="20"/>
  <c r="G24" i="15"/>
  <c r="J61" i="11"/>
  <c r="I60" i="20"/>
  <c r="J86" i="11"/>
  <c r="I85" i="20"/>
  <c r="K81" i="11"/>
  <c r="J80" i="20"/>
  <c r="I139" i="20"/>
  <c r="J140" i="11"/>
  <c r="J142" i="11" s="1"/>
  <c r="I58" i="20"/>
  <c r="J59" i="11"/>
  <c r="J104" i="11"/>
  <c r="I103" i="20"/>
  <c r="I100" i="20"/>
  <c r="J101" i="11"/>
  <c r="I106" i="11"/>
  <c r="J119" i="11"/>
  <c r="J120" i="11" s="1"/>
  <c r="I118" i="20"/>
  <c r="J103" i="11"/>
  <c r="I102" i="20"/>
  <c r="J60" i="11"/>
  <c r="I59" i="20"/>
  <c r="H62" i="15"/>
  <c r="J137" i="11"/>
  <c r="I136" i="20"/>
  <c r="M96" i="11"/>
  <c r="L95" i="20"/>
  <c r="H77" i="20"/>
  <c r="H34" i="15" s="1"/>
  <c r="H141" i="20"/>
  <c r="J82" i="11"/>
  <c r="I81" i="20"/>
  <c r="J112" i="11"/>
  <c r="I111" i="20"/>
  <c r="I89" i="15"/>
  <c r="G40" i="20"/>
  <c r="G48" i="20" s="1"/>
  <c r="J117" i="11"/>
  <c r="I116" i="20"/>
  <c r="J105" i="11"/>
  <c r="I104" i="20"/>
  <c r="J76" i="11"/>
  <c r="I75" i="20"/>
  <c r="H61" i="20"/>
  <c r="H29" i="15" s="1"/>
  <c r="K68" i="11"/>
  <c r="J67" i="20"/>
  <c r="J97" i="11"/>
  <c r="I96" i="20"/>
  <c r="I97" i="20" s="1"/>
  <c r="I49" i="15" s="1"/>
  <c r="I89" i="20"/>
  <c r="I90" i="20" s="1"/>
  <c r="I91" i="11"/>
  <c r="J90" i="11"/>
  <c r="J67" i="11"/>
  <c r="I66" i="20"/>
  <c r="J123" i="11"/>
  <c r="I122" i="20"/>
  <c r="K72" i="11"/>
  <c r="J71" i="20"/>
  <c r="H105" i="20"/>
  <c r="H54" i="15" s="1"/>
  <c r="J139" i="11"/>
  <c r="I138" i="20"/>
  <c r="J85" i="11"/>
  <c r="I84" i="20"/>
  <c r="H72" i="15"/>
  <c r="H74" i="15" s="1"/>
  <c r="I108" i="20"/>
  <c r="J109" i="11"/>
  <c r="J113" i="11" s="1"/>
  <c r="J58" i="11"/>
  <c r="I57" i="20"/>
  <c r="I62" i="11"/>
  <c r="K84" i="11"/>
  <c r="J83" i="20"/>
  <c r="K94" i="11"/>
  <c r="J93" i="20"/>
  <c r="J118" i="11"/>
  <c r="I117" i="20"/>
  <c r="J102" i="11"/>
  <c r="I101" i="20"/>
  <c r="F12" i="15"/>
  <c r="J125" i="11"/>
  <c r="I124" i="20"/>
  <c r="H125" i="20"/>
  <c r="H69" i="15" s="1"/>
  <c r="I52" i="15"/>
  <c r="H30" i="20"/>
  <c r="H7" i="15"/>
  <c r="F40" i="20"/>
  <c r="F48" i="20" s="1"/>
  <c r="E40" i="20"/>
  <c r="E48" i="20" s="1"/>
  <c r="F41" i="11"/>
  <c r="F49" i="11" s="1"/>
  <c r="J35" i="11"/>
  <c r="I34" i="20"/>
  <c r="I36" i="11"/>
  <c r="I39" i="11"/>
  <c r="D7" i="20"/>
  <c r="G5" i="20"/>
  <c r="G7" i="20" s="1"/>
  <c r="J44" i="11"/>
  <c r="I43" i="20"/>
  <c r="I46" i="20" s="1"/>
  <c r="I47" i="11"/>
  <c r="H40" i="20"/>
  <c r="D41" i="11"/>
  <c r="D49" i="11" s="1"/>
  <c r="D39" i="20"/>
  <c r="I53" i="20"/>
  <c r="I54" i="20" s="1"/>
  <c r="I55" i="11"/>
  <c r="J54" i="11"/>
  <c r="E28" i="20"/>
  <c r="E12" i="15" s="1"/>
  <c r="P11" i="20"/>
  <c r="D46" i="20"/>
  <c r="P44" i="20"/>
  <c r="E5" i="20"/>
  <c r="E7" i="20" s="1"/>
  <c r="E7" i="15" s="1"/>
  <c r="F31" i="11"/>
  <c r="F5" i="20"/>
  <c r="F7" i="20" s="1"/>
  <c r="H46" i="20"/>
  <c r="H148" i="11"/>
  <c r="F39" i="1"/>
  <c r="F136" i="1" s="1"/>
  <c r="F92" i="15" s="1"/>
  <c r="G39" i="1"/>
  <c r="G136" i="1" s="1"/>
  <c r="G92" i="15" s="1"/>
  <c r="H44" i="15"/>
  <c r="I32" i="15"/>
  <c r="J39" i="1"/>
  <c r="M39" i="1"/>
  <c r="J43" i="1"/>
  <c r="J22" i="15" s="1"/>
  <c r="K42" i="1"/>
  <c r="J76" i="1"/>
  <c r="I77" i="1"/>
  <c r="I42" i="15" s="1"/>
  <c r="K132" i="1"/>
  <c r="K87" i="15" s="1"/>
  <c r="L131" i="1"/>
  <c r="K129" i="11"/>
  <c r="K128" i="20" s="1"/>
  <c r="K129" i="20" s="1"/>
  <c r="J130" i="11"/>
  <c r="K110" i="11"/>
  <c r="K109" i="20" s="1"/>
  <c r="K119" i="1"/>
  <c r="J121" i="1"/>
  <c r="J77" i="15" s="1"/>
  <c r="H12" i="15"/>
  <c r="H31" i="11"/>
  <c r="J133" i="11"/>
  <c r="J132" i="20" s="1"/>
  <c r="J133" i="20" s="1"/>
  <c r="I134" i="11"/>
  <c r="I79" i="15" s="1"/>
  <c r="I7" i="11"/>
  <c r="I5" i="20" s="1"/>
  <c r="I7" i="20" s="1"/>
  <c r="K157" i="11"/>
  <c r="L153" i="11"/>
  <c r="K146" i="11"/>
  <c r="L145" i="11"/>
  <c r="K141" i="11"/>
  <c r="K140" i="20" s="1"/>
  <c r="K124" i="11"/>
  <c r="K123" i="20" s="1"/>
  <c r="J126" i="11"/>
  <c r="K116" i="11"/>
  <c r="K115" i="20" s="1"/>
  <c r="J98" i="11"/>
  <c r="K95" i="11"/>
  <c r="K94" i="20" s="1"/>
  <c r="I78" i="11"/>
  <c r="E31" i="11"/>
  <c r="G31" i="11"/>
  <c r="I116" i="1"/>
  <c r="I72" i="15" s="1"/>
  <c r="J115" i="1"/>
  <c r="J92" i="1"/>
  <c r="K87" i="1"/>
  <c r="K46" i="1"/>
  <c r="J52" i="1"/>
  <c r="K84" i="1"/>
  <c r="K47" i="15" s="1"/>
  <c r="L80" i="1"/>
  <c r="J103" i="1"/>
  <c r="I106" i="1"/>
  <c r="K71" i="1"/>
  <c r="J73" i="1"/>
  <c r="J37" i="15" s="1"/>
  <c r="K139" i="1"/>
  <c r="J143" i="1"/>
  <c r="J97" i="15" s="1"/>
  <c r="K124" i="1"/>
  <c r="J128" i="1"/>
  <c r="J82" i="15" s="1"/>
  <c r="I99" i="1"/>
  <c r="I57" i="15" s="1"/>
  <c r="J95" i="1"/>
  <c r="J109" i="1"/>
  <c r="I112" i="1"/>
  <c r="D5" i="15"/>
  <c r="P25" i="1"/>
  <c r="P11" i="1"/>
  <c r="I141" i="20" l="1"/>
  <c r="O39" i="1"/>
  <c r="H39" i="1"/>
  <c r="H136" i="1" s="1"/>
  <c r="H92" i="15" s="1"/>
  <c r="L39" i="1"/>
  <c r="H39" i="15"/>
  <c r="K39" i="1"/>
  <c r="E39" i="1"/>
  <c r="E136" i="1" s="1"/>
  <c r="E92" i="15" s="1"/>
  <c r="N56" i="1"/>
  <c r="N65" i="1" s="1"/>
  <c r="N39" i="1"/>
  <c r="I39" i="1"/>
  <c r="I136" i="1" s="1"/>
  <c r="I92" i="15" s="1"/>
  <c r="H64" i="15"/>
  <c r="I112" i="20"/>
  <c r="I59" i="15" s="1"/>
  <c r="I77" i="20"/>
  <c r="I34" i="15" s="1"/>
  <c r="I125" i="20"/>
  <c r="I134" i="1"/>
  <c r="J87" i="11"/>
  <c r="F51" i="11"/>
  <c r="F150" i="11" s="1"/>
  <c r="F159" i="11" s="1"/>
  <c r="G51" i="11"/>
  <c r="G150" i="11" s="1"/>
  <c r="H51" i="11"/>
  <c r="H150" i="11" s="1"/>
  <c r="H84" i="15"/>
  <c r="I61" i="20"/>
  <c r="I29" i="15" s="1"/>
  <c r="I62" i="15"/>
  <c r="I99" i="15"/>
  <c r="L94" i="11"/>
  <c r="K93" i="20"/>
  <c r="K85" i="11"/>
  <c r="J84" i="20"/>
  <c r="K67" i="11"/>
  <c r="J66" i="20"/>
  <c r="K67" i="20"/>
  <c r="I86" i="20"/>
  <c r="K104" i="11"/>
  <c r="J103" i="20"/>
  <c r="J139" i="20"/>
  <c r="K140" i="11"/>
  <c r="K61" i="11"/>
  <c r="J60" i="20"/>
  <c r="J27" i="15"/>
  <c r="I84" i="15"/>
  <c r="I24" i="15"/>
  <c r="K123" i="11"/>
  <c r="J122" i="20"/>
  <c r="J89" i="20"/>
  <c r="J90" i="20" s="1"/>
  <c r="J91" i="11"/>
  <c r="K90" i="11"/>
  <c r="K82" i="11"/>
  <c r="J81" i="20"/>
  <c r="N96" i="11"/>
  <c r="M95" i="20"/>
  <c r="K103" i="11"/>
  <c r="J102" i="20"/>
  <c r="J100" i="20"/>
  <c r="K101" i="11"/>
  <c r="J106" i="11"/>
  <c r="K86" i="11"/>
  <c r="J85" i="20"/>
  <c r="J89" i="15"/>
  <c r="K118" i="11"/>
  <c r="J117" i="20"/>
  <c r="K58" i="11"/>
  <c r="J57" i="20"/>
  <c r="J62" i="11"/>
  <c r="L72" i="11"/>
  <c r="K71" i="20"/>
  <c r="K97" i="11"/>
  <c r="J96" i="20"/>
  <c r="J97" i="20" s="1"/>
  <c r="J49" i="15" s="1"/>
  <c r="K105" i="11"/>
  <c r="J104" i="20"/>
  <c r="I119" i="20"/>
  <c r="I105" i="20"/>
  <c r="I54" i="15" s="1"/>
  <c r="J58" i="20"/>
  <c r="K59" i="11"/>
  <c r="K102" i="11"/>
  <c r="J101" i="20"/>
  <c r="L84" i="11"/>
  <c r="K83" i="20"/>
  <c r="J108" i="20"/>
  <c r="K109" i="11"/>
  <c r="K139" i="11"/>
  <c r="J138" i="20"/>
  <c r="K76" i="11"/>
  <c r="J75" i="20"/>
  <c r="K117" i="11"/>
  <c r="J116" i="20"/>
  <c r="K112" i="11"/>
  <c r="J111" i="20"/>
  <c r="K137" i="11"/>
  <c r="J136" i="20"/>
  <c r="K60" i="11"/>
  <c r="J59" i="20"/>
  <c r="K119" i="11"/>
  <c r="J118" i="20"/>
  <c r="L81" i="11"/>
  <c r="K80" i="20"/>
  <c r="K125" i="11"/>
  <c r="J124" i="20"/>
  <c r="H147" i="20"/>
  <c r="I67" i="15"/>
  <c r="J52" i="15"/>
  <c r="G30" i="20"/>
  <c r="G50" i="20" s="1"/>
  <c r="G149" i="20" s="1"/>
  <c r="G7" i="15"/>
  <c r="G14" i="15" s="1"/>
  <c r="F30" i="20"/>
  <c r="F50" i="20" s="1"/>
  <c r="F149" i="20" s="1"/>
  <c r="F7" i="15"/>
  <c r="F14" i="15" s="1"/>
  <c r="E14" i="15"/>
  <c r="I30" i="20"/>
  <c r="I7" i="15"/>
  <c r="D40" i="20"/>
  <c r="D48" i="20" s="1"/>
  <c r="D19" i="15" s="1"/>
  <c r="K35" i="11"/>
  <c r="J34" i="20"/>
  <c r="J39" i="11"/>
  <c r="J38" i="20" s="1"/>
  <c r="J36" i="11"/>
  <c r="J53" i="20"/>
  <c r="K54" i="11"/>
  <c r="J55" i="11"/>
  <c r="I38" i="20"/>
  <c r="E30" i="20"/>
  <c r="E50" i="20" s="1"/>
  <c r="E149" i="20" s="1"/>
  <c r="H48" i="20"/>
  <c r="K44" i="11"/>
  <c r="J43" i="20"/>
  <c r="J46" i="20" s="1"/>
  <c r="J47" i="11"/>
  <c r="I40" i="11"/>
  <c r="I35" i="20"/>
  <c r="P28" i="20"/>
  <c r="D30" i="20"/>
  <c r="I148" i="11"/>
  <c r="E51" i="11"/>
  <c r="J32" i="15"/>
  <c r="K43" i="1"/>
  <c r="K22" i="15" s="1"/>
  <c r="L42" i="1"/>
  <c r="M131" i="1"/>
  <c r="L132" i="1"/>
  <c r="L87" i="15" s="1"/>
  <c r="I44" i="15"/>
  <c r="J77" i="1"/>
  <c r="J42" i="15" s="1"/>
  <c r="K76" i="1"/>
  <c r="L110" i="11"/>
  <c r="L109" i="20" s="1"/>
  <c r="K113" i="11"/>
  <c r="K130" i="11"/>
  <c r="L129" i="11"/>
  <c r="L128" i="20" s="1"/>
  <c r="L129" i="20" s="1"/>
  <c r="L119" i="1"/>
  <c r="K121" i="1"/>
  <c r="K77" i="15" s="1"/>
  <c r="H14" i="15"/>
  <c r="I29" i="11"/>
  <c r="I12" i="15" s="1"/>
  <c r="J29" i="11"/>
  <c r="J12" i="15" s="1"/>
  <c r="J7" i="11"/>
  <c r="J5" i="20" s="1"/>
  <c r="J7" i="20" s="1"/>
  <c r="J134" i="11"/>
  <c r="J79" i="15" s="1"/>
  <c r="K133" i="11"/>
  <c r="K132" i="20" s="1"/>
  <c r="K133" i="20" s="1"/>
  <c r="L157" i="11"/>
  <c r="M153" i="11"/>
  <c r="L146" i="11"/>
  <c r="M145" i="11"/>
  <c r="L141" i="11"/>
  <c r="L140" i="20" s="1"/>
  <c r="L124" i="11"/>
  <c r="L123" i="20" s="1"/>
  <c r="L116" i="11"/>
  <c r="L115" i="20" s="1"/>
  <c r="K98" i="11"/>
  <c r="L95" i="11"/>
  <c r="L94" i="20" s="1"/>
  <c r="J78" i="11"/>
  <c r="K143" i="1"/>
  <c r="K97" i="15" s="1"/>
  <c r="L139" i="1"/>
  <c r="I74" i="15"/>
  <c r="K95" i="1"/>
  <c r="J99" i="1"/>
  <c r="J57" i="15" s="1"/>
  <c r="L71" i="1"/>
  <c r="K73" i="1"/>
  <c r="K37" i="15" s="1"/>
  <c r="K103" i="1"/>
  <c r="J106" i="1"/>
  <c r="M80" i="1"/>
  <c r="L84" i="1"/>
  <c r="L47" i="15" s="1"/>
  <c r="L87" i="1"/>
  <c r="K92" i="1"/>
  <c r="K52" i="15" s="1"/>
  <c r="K109" i="1"/>
  <c r="J112" i="1"/>
  <c r="L46" i="1"/>
  <c r="K52" i="1"/>
  <c r="K128" i="1"/>
  <c r="K82" i="15" s="1"/>
  <c r="L124" i="1"/>
  <c r="J116" i="1"/>
  <c r="K115" i="1"/>
  <c r="D17" i="1"/>
  <c r="D10" i="15" s="1"/>
  <c r="P10" i="15" s="1"/>
  <c r="D29" i="11"/>
  <c r="D7" i="15"/>
  <c r="P5" i="15"/>
  <c r="P17" i="1"/>
  <c r="P8" i="1"/>
  <c r="C50" i="1" s="1"/>
  <c r="E19" i="15"/>
  <c r="K126" i="11" l="1"/>
  <c r="K142" i="11"/>
  <c r="I39" i="15"/>
  <c r="C33" i="1"/>
  <c r="C120" i="1"/>
  <c r="J125" i="20"/>
  <c r="J141" i="20"/>
  <c r="C63" i="1"/>
  <c r="C55" i="1"/>
  <c r="O56" i="1"/>
  <c r="O65" i="1" s="1"/>
  <c r="C47" i="1"/>
  <c r="C62" i="1"/>
  <c r="J134" i="1"/>
  <c r="I69" i="15"/>
  <c r="K120" i="11"/>
  <c r="J86" i="20"/>
  <c r="K87" i="11"/>
  <c r="K27" i="15"/>
  <c r="C14" i="1"/>
  <c r="J119" i="20"/>
  <c r="I64" i="15"/>
  <c r="J62" i="15"/>
  <c r="M81" i="11"/>
  <c r="L80" i="20"/>
  <c r="L137" i="11"/>
  <c r="K136" i="20"/>
  <c r="L76" i="11"/>
  <c r="K75" i="20"/>
  <c r="L102" i="11"/>
  <c r="K101" i="20"/>
  <c r="L105" i="11"/>
  <c r="K104" i="20"/>
  <c r="L58" i="11"/>
  <c r="K57" i="20"/>
  <c r="K62" i="11"/>
  <c r="L86" i="11"/>
  <c r="K85" i="20"/>
  <c r="K89" i="20"/>
  <c r="K90" i="20" s="1"/>
  <c r="K91" i="11"/>
  <c r="L90" i="11"/>
  <c r="J77" i="20"/>
  <c r="J34" i="15" s="1"/>
  <c r="L85" i="11"/>
  <c r="K84" i="20"/>
  <c r="J99" i="15"/>
  <c r="L117" i="11"/>
  <c r="K116" i="20"/>
  <c r="K108" i="20"/>
  <c r="L109" i="11"/>
  <c r="L113" i="11" s="1"/>
  <c r="M84" i="11"/>
  <c r="L83" i="20"/>
  <c r="M72" i="11"/>
  <c r="L71" i="20"/>
  <c r="L103" i="11"/>
  <c r="K102" i="20"/>
  <c r="L123" i="11"/>
  <c r="L126" i="11" s="1"/>
  <c r="K122" i="20"/>
  <c r="L67" i="11"/>
  <c r="L66" i="20" s="1"/>
  <c r="K66" i="20"/>
  <c r="J72" i="15"/>
  <c r="J74" i="15" s="1"/>
  <c r="H50" i="20"/>
  <c r="H149" i="20" s="1"/>
  <c r="H158" i="20" s="1"/>
  <c r="L60" i="11"/>
  <c r="K59" i="20"/>
  <c r="J112" i="20"/>
  <c r="J59" i="15" s="1"/>
  <c r="K58" i="20"/>
  <c r="L59" i="11"/>
  <c r="L97" i="11"/>
  <c r="L98" i="11" s="1"/>
  <c r="K96" i="20"/>
  <c r="K97" i="20" s="1"/>
  <c r="K49" i="15" s="1"/>
  <c r="K100" i="20"/>
  <c r="K106" i="11"/>
  <c r="L101" i="11"/>
  <c r="L82" i="11"/>
  <c r="K81" i="20"/>
  <c r="L61" i="11"/>
  <c r="K60" i="20"/>
  <c r="M94" i="11"/>
  <c r="L93" i="20"/>
  <c r="L119" i="11"/>
  <c r="K118" i="20"/>
  <c r="L112" i="11"/>
  <c r="K111" i="20"/>
  <c r="L139" i="11"/>
  <c r="K138" i="20"/>
  <c r="J61" i="20"/>
  <c r="J29" i="15" s="1"/>
  <c r="L118" i="11"/>
  <c r="K117" i="20"/>
  <c r="J105" i="20"/>
  <c r="J54" i="15" s="1"/>
  <c r="O96" i="11"/>
  <c r="O95" i="20" s="1"/>
  <c r="N95" i="20"/>
  <c r="I147" i="20"/>
  <c r="K139" i="20"/>
  <c r="L140" i="11"/>
  <c r="L142" i="11" s="1"/>
  <c r="L104" i="11"/>
  <c r="K103" i="20"/>
  <c r="M68" i="11"/>
  <c r="L67" i="20"/>
  <c r="L125" i="11"/>
  <c r="K124" i="20"/>
  <c r="J67" i="15"/>
  <c r="G158" i="20"/>
  <c r="E158" i="20"/>
  <c r="F158" i="20"/>
  <c r="J30" i="20"/>
  <c r="J7" i="15"/>
  <c r="J14" i="15" s="1"/>
  <c r="I39" i="20"/>
  <c r="L44" i="11"/>
  <c r="K43" i="20"/>
  <c r="K46" i="20" s="1"/>
  <c r="K47" i="11"/>
  <c r="J54" i="20"/>
  <c r="K53" i="20"/>
  <c r="K54" i="20" s="1"/>
  <c r="K55" i="11"/>
  <c r="L54" i="11"/>
  <c r="D50" i="20"/>
  <c r="D149" i="20" s="1"/>
  <c r="L35" i="11"/>
  <c r="K34" i="20"/>
  <c r="K39" i="11"/>
  <c r="K36" i="11"/>
  <c r="J40" i="11"/>
  <c r="J35" i="20"/>
  <c r="I41" i="11"/>
  <c r="I49" i="11" s="1"/>
  <c r="J148" i="11"/>
  <c r="E150" i="11"/>
  <c r="E159" i="11" s="1"/>
  <c r="C61" i="1"/>
  <c r="J136" i="1"/>
  <c r="J92" i="15" s="1"/>
  <c r="K32" i="15"/>
  <c r="C32" i="1"/>
  <c r="C59" i="1"/>
  <c r="C60" i="1"/>
  <c r="Q17" i="1"/>
  <c r="C70" i="1"/>
  <c r="C23" i="1"/>
  <c r="L43" i="1"/>
  <c r="L22" i="15" s="1"/>
  <c r="M42" i="1"/>
  <c r="J44" i="15"/>
  <c r="L76" i="1"/>
  <c r="K77" i="1"/>
  <c r="K42" i="15" s="1"/>
  <c r="M132" i="1"/>
  <c r="M87" i="15" s="1"/>
  <c r="N131" i="1"/>
  <c r="L130" i="11"/>
  <c r="M129" i="11"/>
  <c r="M128" i="20" s="1"/>
  <c r="M129" i="20" s="1"/>
  <c r="M110" i="11"/>
  <c r="M109" i="20" s="1"/>
  <c r="M119" i="1"/>
  <c r="L121" i="1"/>
  <c r="L77" i="15" s="1"/>
  <c r="C58" i="1"/>
  <c r="C88" i="1"/>
  <c r="I14" i="15"/>
  <c r="K134" i="11"/>
  <c r="K79" i="15" s="1"/>
  <c r="L133" i="11"/>
  <c r="L132" i="20" s="1"/>
  <c r="L133" i="20" s="1"/>
  <c r="K29" i="11"/>
  <c r="K12" i="15" s="1"/>
  <c r="K7" i="11"/>
  <c r="K5" i="20" s="1"/>
  <c r="K7" i="20" s="1"/>
  <c r="J31" i="11"/>
  <c r="I31" i="11"/>
  <c r="N153" i="11"/>
  <c r="M157" i="11"/>
  <c r="M146" i="11"/>
  <c r="N145" i="11"/>
  <c r="M141" i="11"/>
  <c r="M140" i="20" s="1"/>
  <c r="M124" i="11"/>
  <c r="M123" i="20" s="1"/>
  <c r="M116" i="11"/>
  <c r="M115" i="20" s="1"/>
  <c r="M95" i="11"/>
  <c r="M94" i="20" s="1"/>
  <c r="K78" i="11"/>
  <c r="C57" i="1"/>
  <c r="E145" i="1"/>
  <c r="E102" i="15" s="1"/>
  <c r="G159" i="11"/>
  <c r="H159" i="11"/>
  <c r="K89" i="15"/>
  <c r="L103" i="1"/>
  <c r="K106" i="1"/>
  <c r="K62" i="15" s="1"/>
  <c r="K116" i="1"/>
  <c r="L115" i="1"/>
  <c r="L128" i="1"/>
  <c r="L82" i="15" s="1"/>
  <c r="M124" i="1"/>
  <c r="K112" i="1"/>
  <c r="L109" i="1"/>
  <c r="M87" i="1"/>
  <c r="L92" i="1"/>
  <c r="M46" i="1"/>
  <c r="L52" i="1"/>
  <c r="N80" i="1"/>
  <c r="M84" i="1"/>
  <c r="M47" i="15" s="1"/>
  <c r="M71" i="1"/>
  <c r="L73" i="1"/>
  <c r="L37" i="15" s="1"/>
  <c r="M139" i="1"/>
  <c r="L143" i="1"/>
  <c r="L97" i="15" s="1"/>
  <c r="L95" i="1"/>
  <c r="K99" i="1"/>
  <c r="K57" i="15" s="1"/>
  <c r="D19" i="1"/>
  <c r="D39" i="1" s="1"/>
  <c r="D31" i="11"/>
  <c r="D51" i="11" s="1"/>
  <c r="D150" i="11" s="1"/>
  <c r="C102" i="1"/>
  <c r="C127" i="1"/>
  <c r="C104" i="1"/>
  <c r="C98" i="1"/>
  <c r="C91" i="1"/>
  <c r="C49" i="1"/>
  <c r="C81" i="1"/>
  <c r="C48" i="1"/>
  <c r="C68" i="1"/>
  <c r="C125" i="1"/>
  <c r="C16" i="1"/>
  <c r="C7" i="1"/>
  <c r="C34" i="1"/>
  <c r="C83" i="1"/>
  <c r="C15" i="1"/>
  <c r="C141" i="1"/>
  <c r="C111" i="1"/>
  <c r="C72" i="1"/>
  <c r="C90" i="1"/>
  <c r="C51" i="1"/>
  <c r="C30" i="1"/>
  <c r="C96" i="1"/>
  <c r="C82" i="1"/>
  <c r="C110" i="1"/>
  <c r="C69" i="1"/>
  <c r="C142" i="1"/>
  <c r="C8" i="1"/>
  <c r="C126" i="1"/>
  <c r="C89" i="1"/>
  <c r="C105" i="1"/>
  <c r="C140" i="1"/>
  <c r="C97" i="1"/>
  <c r="C26" i="1"/>
  <c r="C31" i="1"/>
  <c r="C22" i="1"/>
  <c r="IV8" i="1"/>
  <c r="C24" i="1"/>
  <c r="C5" i="1"/>
  <c r="C6" i="1"/>
  <c r="C25" i="1"/>
  <c r="C17" i="1"/>
  <c r="C10" i="15"/>
  <c r="L120" i="11" l="1"/>
  <c r="J69" i="15"/>
  <c r="J84" i="15"/>
  <c r="P56" i="1"/>
  <c r="P65" i="1" s="1"/>
  <c r="J39" i="15"/>
  <c r="K77" i="20"/>
  <c r="K34" i="15" s="1"/>
  <c r="J64" i="15"/>
  <c r="K134" i="1"/>
  <c r="K125" i="20"/>
  <c r="K86" i="20"/>
  <c r="L87" i="11"/>
  <c r="P67" i="11"/>
  <c r="L27" i="15"/>
  <c r="N68" i="11"/>
  <c r="M67" i="20"/>
  <c r="P95" i="20"/>
  <c r="M139" i="11"/>
  <c r="L138" i="20"/>
  <c r="M119" i="11"/>
  <c r="L118" i="20"/>
  <c r="K105" i="20"/>
  <c r="K54" i="15" s="1"/>
  <c r="M123" i="11"/>
  <c r="L122" i="20"/>
  <c r="L108" i="20"/>
  <c r="M109" i="11"/>
  <c r="M105" i="11"/>
  <c r="L104" i="20"/>
  <c r="M76" i="11"/>
  <c r="L75" i="20"/>
  <c r="L77" i="20" s="1"/>
  <c r="M82" i="11"/>
  <c r="L81" i="20"/>
  <c r="M60" i="11"/>
  <c r="L59" i="20"/>
  <c r="N72" i="11"/>
  <c r="M71" i="20"/>
  <c r="K112" i="20"/>
  <c r="K59" i="15" s="1"/>
  <c r="L89" i="20"/>
  <c r="L90" i="20" s="1"/>
  <c r="L91" i="11"/>
  <c r="M90" i="11"/>
  <c r="K61" i="20"/>
  <c r="K29" i="15" s="1"/>
  <c r="K72" i="15"/>
  <c r="K74" i="15" s="1"/>
  <c r="J147" i="20"/>
  <c r="J24" i="15"/>
  <c r="M104" i="11"/>
  <c r="L103" i="20"/>
  <c r="P96" i="11"/>
  <c r="M112" i="11"/>
  <c r="L111" i="20"/>
  <c r="L100" i="20"/>
  <c r="M101" i="11"/>
  <c r="L106" i="11"/>
  <c r="M97" i="11"/>
  <c r="M98" i="11" s="1"/>
  <c r="L96" i="20"/>
  <c r="L97" i="20" s="1"/>
  <c r="L49" i="15" s="1"/>
  <c r="K119" i="20"/>
  <c r="K64" i="15" s="1"/>
  <c r="M85" i="11"/>
  <c r="L84" i="20"/>
  <c r="M86" i="11"/>
  <c r="L85" i="20"/>
  <c r="M58" i="11"/>
  <c r="L57" i="20"/>
  <c r="L62" i="11"/>
  <c r="M102" i="11"/>
  <c r="L101" i="20"/>
  <c r="N81" i="11"/>
  <c r="M80" i="20"/>
  <c r="L89" i="15"/>
  <c r="K99" i="15"/>
  <c r="L139" i="20"/>
  <c r="M140" i="11"/>
  <c r="M142" i="11" s="1"/>
  <c r="M118" i="11"/>
  <c r="M120" i="11" s="1"/>
  <c r="L117" i="20"/>
  <c r="K141" i="20"/>
  <c r="N94" i="11"/>
  <c r="M93" i="20"/>
  <c r="M61" i="11"/>
  <c r="L60" i="20"/>
  <c r="L58" i="20"/>
  <c r="M59" i="11"/>
  <c r="L102" i="20"/>
  <c r="M103" i="11"/>
  <c r="N84" i="11"/>
  <c r="M83" i="20"/>
  <c r="M117" i="11"/>
  <c r="L116" i="20"/>
  <c r="P66" i="20"/>
  <c r="M137" i="11"/>
  <c r="L136" i="20"/>
  <c r="M125" i="11"/>
  <c r="L124" i="20"/>
  <c r="K67" i="15"/>
  <c r="L52" i="15"/>
  <c r="D158" i="20"/>
  <c r="K30" i="20"/>
  <c r="K24" i="15"/>
  <c r="K38" i="20"/>
  <c r="L53" i="20"/>
  <c r="L54" i="20" s="1"/>
  <c r="L24" i="15" s="1"/>
  <c r="M54" i="11"/>
  <c r="L55" i="11"/>
  <c r="M44" i="11"/>
  <c r="L43" i="20"/>
  <c r="L46" i="20" s="1"/>
  <c r="L47" i="11"/>
  <c r="K148" i="11"/>
  <c r="M35" i="11"/>
  <c r="L34" i="20"/>
  <c r="L36" i="11"/>
  <c r="L39" i="11"/>
  <c r="L38" i="20" s="1"/>
  <c r="J39" i="20"/>
  <c r="J40" i="20" s="1"/>
  <c r="J48" i="20" s="1"/>
  <c r="J41" i="11"/>
  <c r="J49" i="11" s="1"/>
  <c r="J51" i="11" s="1"/>
  <c r="K40" i="11"/>
  <c r="K39" i="20" s="1"/>
  <c r="K35" i="20"/>
  <c r="I40" i="20"/>
  <c r="I48" i="20" s="1"/>
  <c r="E94" i="15"/>
  <c r="E104" i="15"/>
  <c r="I51" i="11"/>
  <c r="K136" i="1"/>
  <c r="K92" i="15" s="1"/>
  <c r="D136" i="1"/>
  <c r="D92" i="15" s="1"/>
  <c r="P39" i="1"/>
  <c r="L32" i="15"/>
  <c r="N42" i="1"/>
  <c r="M43" i="1"/>
  <c r="M22" i="15" s="1"/>
  <c r="N132" i="1"/>
  <c r="N87" i="15" s="1"/>
  <c r="O131" i="1"/>
  <c r="K44" i="15"/>
  <c r="M76" i="1"/>
  <c r="L77" i="1"/>
  <c r="L42" i="15" s="1"/>
  <c r="N110" i="11"/>
  <c r="N109" i="20" s="1"/>
  <c r="M130" i="11"/>
  <c r="N129" i="11"/>
  <c r="N128" i="20" s="1"/>
  <c r="N129" i="20" s="1"/>
  <c r="N119" i="1"/>
  <c r="M121" i="1"/>
  <c r="M77" i="15" s="1"/>
  <c r="M133" i="11"/>
  <c r="M132" i="20" s="1"/>
  <c r="M133" i="20" s="1"/>
  <c r="L134" i="11"/>
  <c r="L79" i="15" s="1"/>
  <c r="K31" i="11"/>
  <c r="L29" i="11"/>
  <c r="L12" i="15" s="1"/>
  <c r="L7" i="11"/>
  <c r="L5" i="20" s="1"/>
  <c r="O153" i="11"/>
  <c r="N157" i="11"/>
  <c r="N146" i="11"/>
  <c r="O145" i="11"/>
  <c r="N141" i="11"/>
  <c r="N140" i="20" s="1"/>
  <c r="N124" i="11"/>
  <c r="N123" i="20" s="1"/>
  <c r="N116" i="11"/>
  <c r="N115" i="20" s="1"/>
  <c r="N95" i="11"/>
  <c r="N94" i="20" s="1"/>
  <c r="L78" i="11"/>
  <c r="F145" i="1"/>
  <c r="F94" i="15"/>
  <c r="N46" i="1"/>
  <c r="M52" i="1"/>
  <c r="N87" i="1"/>
  <c r="M92" i="1"/>
  <c r="N71" i="1"/>
  <c r="M73" i="1"/>
  <c r="M37" i="15" s="1"/>
  <c r="M109" i="1"/>
  <c r="L112" i="1"/>
  <c r="M128" i="1"/>
  <c r="M82" i="15" s="1"/>
  <c r="N124" i="1"/>
  <c r="M95" i="1"/>
  <c r="L99" i="1"/>
  <c r="L57" i="15" s="1"/>
  <c r="L116" i="1"/>
  <c r="M115" i="1"/>
  <c r="M103" i="1"/>
  <c r="L106" i="1"/>
  <c r="M143" i="1"/>
  <c r="M97" i="15" s="1"/>
  <c r="N139" i="1"/>
  <c r="N84" i="1"/>
  <c r="N47" i="15" s="1"/>
  <c r="O80" i="1"/>
  <c r="P19" i="1"/>
  <c r="C19" i="1" s="1"/>
  <c r="D12" i="15"/>
  <c r="D14" i="15" s="1"/>
  <c r="F19" i="15"/>
  <c r="G19" i="15"/>
  <c r="C56" i="1" l="1"/>
  <c r="L125" i="20"/>
  <c r="K69" i="15"/>
  <c r="L134" i="1"/>
  <c r="K39" i="15"/>
  <c r="M113" i="11"/>
  <c r="M126" i="11"/>
  <c r="M87" i="11"/>
  <c r="L148" i="11"/>
  <c r="K84" i="15"/>
  <c r="L86" i="20"/>
  <c r="L72" i="15"/>
  <c r="L74" i="15" s="1"/>
  <c r="L62" i="15"/>
  <c r="N137" i="11"/>
  <c r="M136" i="20"/>
  <c r="M58" i="20"/>
  <c r="N59" i="11"/>
  <c r="N86" i="11"/>
  <c r="M85" i="20"/>
  <c r="M100" i="20"/>
  <c r="M106" i="11"/>
  <c r="N101" i="11"/>
  <c r="M89" i="20"/>
  <c r="M90" i="20" s="1"/>
  <c r="N90" i="11"/>
  <c r="M91" i="11"/>
  <c r="N82" i="11"/>
  <c r="M81" i="20"/>
  <c r="L141" i="20"/>
  <c r="K147" i="20"/>
  <c r="O84" i="11"/>
  <c r="O83" i="20" s="1"/>
  <c r="N83" i="20"/>
  <c r="N118" i="11"/>
  <c r="M117" i="20"/>
  <c r="O81" i="11"/>
  <c r="O80" i="20" s="1"/>
  <c r="N80" i="20"/>
  <c r="L61" i="20"/>
  <c r="L29" i="15" s="1"/>
  <c r="L105" i="20"/>
  <c r="L54" i="15" s="1"/>
  <c r="N112" i="11"/>
  <c r="M111" i="20"/>
  <c r="N104" i="11"/>
  <c r="M103" i="20"/>
  <c r="N60" i="11"/>
  <c r="M59" i="20"/>
  <c r="N105" i="11"/>
  <c r="M104" i="20"/>
  <c r="N139" i="11"/>
  <c r="M138" i="20"/>
  <c r="O68" i="11"/>
  <c r="N67" i="20"/>
  <c r="L99" i="15"/>
  <c r="M89" i="15"/>
  <c r="I50" i="20"/>
  <c r="I149" i="20" s="1"/>
  <c r="J50" i="20"/>
  <c r="J149" i="20" s="1"/>
  <c r="L119" i="20"/>
  <c r="N103" i="11"/>
  <c r="M102" i="20"/>
  <c r="O94" i="11"/>
  <c r="N93" i="20"/>
  <c r="M139" i="20"/>
  <c r="N140" i="11"/>
  <c r="N58" i="11"/>
  <c r="M57" i="20"/>
  <c r="M62" i="11"/>
  <c r="N85" i="11"/>
  <c r="N87" i="11" s="1"/>
  <c r="M84" i="20"/>
  <c r="N97" i="11"/>
  <c r="N98" i="11" s="1"/>
  <c r="M96" i="20"/>
  <c r="M97" i="20" s="1"/>
  <c r="M49" i="15" s="1"/>
  <c r="O72" i="11"/>
  <c r="N71" i="20"/>
  <c r="M108" i="20"/>
  <c r="N109" i="11"/>
  <c r="N123" i="11"/>
  <c r="M122" i="20"/>
  <c r="N119" i="11"/>
  <c r="M118" i="20"/>
  <c r="M27" i="15"/>
  <c r="N117" i="11"/>
  <c r="M116" i="20"/>
  <c r="N61" i="11"/>
  <c r="M60" i="20"/>
  <c r="N102" i="11"/>
  <c r="M101" i="20"/>
  <c r="N76" i="11"/>
  <c r="M75" i="20"/>
  <c r="M77" i="20" s="1"/>
  <c r="L112" i="20"/>
  <c r="L59" i="15" s="1"/>
  <c r="N125" i="11"/>
  <c r="M124" i="20"/>
  <c r="L67" i="15"/>
  <c r="M52" i="15"/>
  <c r="F102" i="15"/>
  <c r="F104" i="15" s="1"/>
  <c r="D160" i="20"/>
  <c r="K41" i="11"/>
  <c r="K49" i="11" s="1"/>
  <c r="K51" i="11" s="1"/>
  <c r="K40" i="20"/>
  <c r="K48" i="20" s="1"/>
  <c r="N44" i="11"/>
  <c r="M43" i="20"/>
  <c r="M46" i="20" s="1"/>
  <c r="M47" i="11"/>
  <c r="M53" i="20"/>
  <c r="M54" i="20" s="1"/>
  <c r="M55" i="11"/>
  <c r="N54" i="11"/>
  <c r="L40" i="11"/>
  <c r="L39" i="20" s="1"/>
  <c r="L35" i="20"/>
  <c r="L7" i="20"/>
  <c r="L7" i="15" s="1"/>
  <c r="L14" i="15" s="1"/>
  <c r="N35" i="11"/>
  <c r="M34" i="20"/>
  <c r="M36" i="11"/>
  <c r="M39" i="11"/>
  <c r="M38" i="20" s="1"/>
  <c r="I150" i="11"/>
  <c r="J150" i="11"/>
  <c r="L136" i="1"/>
  <c r="L92" i="15" s="1"/>
  <c r="D145" i="1"/>
  <c r="D102" i="15" s="1"/>
  <c r="C39" i="1"/>
  <c r="Q39" i="1"/>
  <c r="M32" i="15"/>
  <c r="N43" i="1"/>
  <c r="N22" i="15" s="1"/>
  <c r="O42" i="1"/>
  <c r="O43" i="1" s="1"/>
  <c r="O22" i="15" s="1"/>
  <c r="L44" i="15"/>
  <c r="M77" i="1"/>
  <c r="M42" i="15" s="1"/>
  <c r="N76" i="1"/>
  <c r="P131" i="1"/>
  <c r="O132" i="1"/>
  <c r="O110" i="11"/>
  <c r="O109" i="20" s="1"/>
  <c r="P109" i="20" s="1"/>
  <c r="N130" i="11"/>
  <c r="O129" i="11"/>
  <c r="O119" i="1"/>
  <c r="N121" i="1"/>
  <c r="N77" i="15" s="1"/>
  <c r="N32" i="15"/>
  <c r="M29" i="11"/>
  <c r="M12" i="15" s="1"/>
  <c r="M7" i="11"/>
  <c r="M5" i="20" s="1"/>
  <c r="M7" i="20" s="1"/>
  <c r="K7" i="15"/>
  <c r="K14" i="15" s="1"/>
  <c r="L31" i="11"/>
  <c r="N133" i="11"/>
  <c r="N132" i="20" s="1"/>
  <c r="N133" i="20" s="1"/>
  <c r="M134" i="11"/>
  <c r="M79" i="15" s="1"/>
  <c r="O157" i="11"/>
  <c r="P98" i="15" s="1"/>
  <c r="P153" i="11"/>
  <c r="O146" i="11"/>
  <c r="P88" i="15" s="1"/>
  <c r="P145" i="11"/>
  <c r="O141" i="11"/>
  <c r="O124" i="11"/>
  <c r="O123" i="20" s="1"/>
  <c r="P123" i="20" s="1"/>
  <c r="N126" i="11"/>
  <c r="O116" i="11"/>
  <c r="O115" i="20" s="1"/>
  <c r="N120" i="11"/>
  <c r="O95" i="11"/>
  <c r="L34" i="15"/>
  <c r="M78" i="11"/>
  <c r="G145" i="1"/>
  <c r="G94" i="15"/>
  <c r="D159" i="11"/>
  <c r="D94" i="15"/>
  <c r="O84" i="1"/>
  <c r="O47" i="15" s="1"/>
  <c r="P80" i="1"/>
  <c r="N115" i="1"/>
  <c r="M116" i="1"/>
  <c r="N95" i="1"/>
  <c r="M99" i="1"/>
  <c r="M57" i="15" s="1"/>
  <c r="N128" i="1"/>
  <c r="N82" i="15" s="1"/>
  <c r="O124" i="1"/>
  <c r="O46" i="1"/>
  <c r="N52" i="1"/>
  <c r="O139" i="1"/>
  <c r="N143" i="1"/>
  <c r="N97" i="15" s="1"/>
  <c r="O71" i="1"/>
  <c r="N73" i="1"/>
  <c r="N37" i="15" s="1"/>
  <c r="O87" i="1"/>
  <c r="N92" i="1"/>
  <c r="N103" i="1"/>
  <c r="M106" i="1"/>
  <c r="N109" i="1"/>
  <c r="M112" i="1"/>
  <c r="L69" i="15" l="1"/>
  <c r="M125" i="20"/>
  <c r="M112" i="20"/>
  <c r="M59" i="15" s="1"/>
  <c r="M134" i="1"/>
  <c r="N142" i="11"/>
  <c r="N113" i="11"/>
  <c r="M119" i="20"/>
  <c r="L64" i="15"/>
  <c r="P84" i="11"/>
  <c r="I158" i="20"/>
  <c r="L147" i="20"/>
  <c r="J158" i="20"/>
  <c r="L84" i="15"/>
  <c r="L41" i="11"/>
  <c r="L49" i="11" s="1"/>
  <c r="L51" i="11" s="1"/>
  <c r="L39" i="15"/>
  <c r="M148" i="11"/>
  <c r="P83" i="20"/>
  <c r="M72" i="15"/>
  <c r="M74" i="15" s="1"/>
  <c r="M99" i="15"/>
  <c r="N89" i="15"/>
  <c r="O102" i="11"/>
  <c r="N101" i="20"/>
  <c r="N108" i="20"/>
  <c r="O109" i="11"/>
  <c r="O113" i="11" s="1"/>
  <c r="O71" i="20"/>
  <c r="P71" i="20" s="1"/>
  <c r="P72" i="11"/>
  <c r="M61" i="20"/>
  <c r="O67" i="20"/>
  <c r="P68" i="11"/>
  <c r="O105" i="11"/>
  <c r="N104" i="20"/>
  <c r="O104" i="11"/>
  <c r="O103" i="20" s="1"/>
  <c r="N103" i="20"/>
  <c r="O82" i="11"/>
  <c r="N81" i="20"/>
  <c r="N100" i="20"/>
  <c r="N106" i="11"/>
  <c r="O101" i="11"/>
  <c r="M62" i="15"/>
  <c r="O117" i="11"/>
  <c r="N116" i="20"/>
  <c r="O119" i="11"/>
  <c r="O118" i="20" s="1"/>
  <c r="N118" i="20"/>
  <c r="O85" i="11"/>
  <c r="N84" i="20"/>
  <c r="O58" i="11"/>
  <c r="N57" i="20"/>
  <c r="N62" i="11"/>
  <c r="O103" i="11"/>
  <c r="N102" i="20"/>
  <c r="M141" i="20"/>
  <c r="P81" i="11"/>
  <c r="O118" i="11"/>
  <c r="O120" i="11" s="1"/>
  <c r="N117" i="20"/>
  <c r="O86" i="11"/>
  <c r="N85" i="20"/>
  <c r="N27" i="15"/>
  <c r="O87" i="15"/>
  <c r="O89" i="15" s="1"/>
  <c r="O76" i="11"/>
  <c r="N75" i="20"/>
  <c r="O97" i="11"/>
  <c r="O98" i="11" s="1"/>
  <c r="N96" i="20"/>
  <c r="N97" i="20" s="1"/>
  <c r="P58" i="11"/>
  <c r="O93" i="20"/>
  <c r="P94" i="11"/>
  <c r="O139" i="11"/>
  <c r="O138" i="20" s="1"/>
  <c r="N138" i="20"/>
  <c r="P139" i="11"/>
  <c r="O60" i="11"/>
  <c r="O59" i="20" s="1"/>
  <c r="N59" i="20"/>
  <c r="P60" i="11"/>
  <c r="O112" i="11"/>
  <c r="O111" i="20" s="1"/>
  <c r="N111" i="20"/>
  <c r="N89" i="20"/>
  <c r="N90" i="20" s="1"/>
  <c r="N91" i="11"/>
  <c r="O90" i="11"/>
  <c r="P90" i="11" s="1"/>
  <c r="P91" i="11" s="1"/>
  <c r="M105" i="20"/>
  <c r="M54" i="15" s="1"/>
  <c r="N58" i="20"/>
  <c r="O59" i="11"/>
  <c r="O58" i="20" s="1"/>
  <c r="P59" i="11"/>
  <c r="O137" i="11"/>
  <c r="N136" i="20"/>
  <c r="O94" i="20"/>
  <c r="P94" i="20" s="1"/>
  <c r="P115" i="20"/>
  <c r="O140" i="20"/>
  <c r="P140" i="20" s="1"/>
  <c r="M24" i="15"/>
  <c r="K50" i="20"/>
  <c r="K149" i="20" s="1"/>
  <c r="O61" i="11"/>
  <c r="O60" i="20" s="1"/>
  <c r="N60" i="20"/>
  <c r="O123" i="11"/>
  <c r="O122" i="20" s="1"/>
  <c r="N122" i="20"/>
  <c r="N139" i="20"/>
  <c r="O140" i="11"/>
  <c r="O139" i="20" s="1"/>
  <c r="N77" i="20"/>
  <c r="P80" i="20"/>
  <c r="M86" i="20"/>
  <c r="M30" i="20"/>
  <c r="O130" i="11"/>
  <c r="O128" i="20"/>
  <c r="O125" i="11"/>
  <c r="N124" i="20"/>
  <c r="M67" i="15"/>
  <c r="N52" i="15"/>
  <c r="G102" i="15"/>
  <c r="G104" i="15" s="1"/>
  <c r="E160" i="20"/>
  <c r="L40" i="20"/>
  <c r="L48" i="20" s="1"/>
  <c r="M40" i="11"/>
  <c r="M35" i="20"/>
  <c r="O44" i="11"/>
  <c r="P44" i="11" s="1"/>
  <c r="P47" i="11" s="1"/>
  <c r="N43" i="20"/>
  <c r="N46" i="20" s="1"/>
  <c r="N47" i="11"/>
  <c r="L30" i="20"/>
  <c r="O35" i="11"/>
  <c r="N34" i="20"/>
  <c r="N39" i="11"/>
  <c r="N38" i="20" s="1"/>
  <c r="N36" i="11"/>
  <c r="N53" i="20"/>
  <c r="N54" i="20" s="1"/>
  <c r="N55" i="11"/>
  <c r="O54" i="11"/>
  <c r="P54" i="11" s="1"/>
  <c r="P55" i="11" s="1"/>
  <c r="I159" i="11"/>
  <c r="J159" i="11"/>
  <c r="K150" i="11"/>
  <c r="K159" i="11" s="1"/>
  <c r="D147" i="1"/>
  <c r="D107" i="15" s="1"/>
  <c r="M136" i="1"/>
  <c r="M92" i="15" s="1"/>
  <c r="P42" i="1"/>
  <c r="P132" i="1"/>
  <c r="C132" i="1" s="1"/>
  <c r="C131" i="1"/>
  <c r="O76" i="1"/>
  <c r="O77" i="1" s="1"/>
  <c r="O42" i="15" s="1"/>
  <c r="N77" i="1"/>
  <c r="N42" i="15" s="1"/>
  <c r="M44" i="15"/>
  <c r="P95" i="11"/>
  <c r="P141" i="11"/>
  <c r="P124" i="11"/>
  <c r="P129" i="11"/>
  <c r="P130" i="11" s="1"/>
  <c r="P110" i="11"/>
  <c r="O121" i="1"/>
  <c r="P119" i="1"/>
  <c r="O32" i="15"/>
  <c r="M31" i="11"/>
  <c r="O133" i="11"/>
  <c r="N134" i="11"/>
  <c r="N79" i="15" s="1"/>
  <c r="N29" i="11"/>
  <c r="N12" i="15" s="1"/>
  <c r="N7" i="11"/>
  <c r="N5" i="20" s="1"/>
  <c r="N7" i="20" s="1"/>
  <c r="P157" i="11"/>
  <c r="P146" i="11"/>
  <c r="P116" i="11"/>
  <c r="N78" i="11"/>
  <c r="M34" i="15"/>
  <c r="D161" i="11"/>
  <c r="D104" i="15"/>
  <c r="O128" i="1"/>
  <c r="O82" i="15" s="1"/>
  <c r="P124" i="1"/>
  <c r="P47" i="15"/>
  <c r="N112" i="1"/>
  <c r="O109" i="1"/>
  <c r="O92" i="1"/>
  <c r="O52" i="15" s="1"/>
  <c r="P87" i="1"/>
  <c r="O143" i="1"/>
  <c r="O97" i="15" s="1"/>
  <c r="P139" i="1"/>
  <c r="O115" i="1"/>
  <c r="N116" i="1"/>
  <c r="O103" i="1"/>
  <c r="N106" i="1"/>
  <c r="O73" i="1"/>
  <c r="O37" i="15" s="1"/>
  <c r="P71" i="1"/>
  <c r="O52" i="1"/>
  <c r="P46" i="1"/>
  <c r="N99" i="1"/>
  <c r="N57" i="15" s="1"/>
  <c r="O95" i="1"/>
  <c r="P84" i="1"/>
  <c r="C80" i="1"/>
  <c r="I19" i="15"/>
  <c r="M84" i="15" l="1"/>
  <c r="N86" i="20"/>
  <c r="M64" i="15"/>
  <c r="M69" i="15"/>
  <c r="N134" i="1"/>
  <c r="P112" i="11"/>
  <c r="P104" i="11"/>
  <c r="P139" i="20"/>
  <c r="P119" i="11"/>
  <c r="N125" i="20"/>
  <c r="O87" i="11"/>
  <c r="P60" i="20"/>
  <c r="P59" i="20"/>
  <c r="N148" i="11"/>
  <c r="K158" i="20"/>
  <c r="O27" i="15"/>
  <c r="P27" i="15" s="1"/>
  <c r="M39" i="15"/>
  <c r="P87" i="15"/>
  <c r="C87" i="15" s="1"/>
  <c r="P123" i="11"/>
  <c r="N49" i="15"/>
  <c r="N72" i="15"/>
  <c r="N74" i="15" s="1"/>
  <c r="O77" i="15"/>
  <c r="P77" i="15" s="1"/>
  <c r="C77" i="15" s="1"/>
  <c r="M147" i="20"/>
  <c r="O136" i="20"/>
  <c r="P136" i="20" s="1"/>
  <c r="P137" i="11"/>
  <c r="P111" i="20"/>
  <c r="P93" i="20"/>
  <c r="N61" i="20"/>
  <c r="N29" i="15" s="1"/>
  <c r="O116" i="20"/>
  <c r="P117" i="11"/>
  <c r="O104" i="20"/>
  <c r="P104" i="20" s="1"/>
  <c r="P105" i="11"/>
  <c r="N99" i="15"/>
  <c r="N141" i="20"/>
  <c r="O75" i="20"/>
  <c r="P75" i="20" s="1"/>
  <c r="P76" i="11"/>
  <c r="O117" i="20"/>
  <c r="P117" i="20" s="1"/>
  <c r="P118" i="11"/>
  <c r="O102" i="20"/>
  <c r="P102" i="20" s="1"/>
  <c r="P103" i="11"/>
  <c r="O57" i="20"/>
  <c r="O62" i="11"/>
  <c r="N105" i="20"/>
  <c r="N54" i="15" s="1"/>
  <c r="O101" i="20"/>
  <c r="P101" i="20" s="1"/>
  <c r="P102" i="11"/>
  <c r="N62" i="15"/>
  <c r="P122" i="20"/>
  <c r="O142" i="11"/>
  <c r="P58" i="20"/>
  <c r="O91" i="11"/>
  <c r="O89" i="20"/>
  <c r="O141" i="20"/>
  <c r="P138" i="20"/>
  <c r="P118" i="20"/>
  <c r="P103" i="20"/>
  <c r="P67" i="20"/>
  <c r="P109" i="11"/>
  <c r="P113" i="11" s="1"/>
  <c r="O108" i="20"/>
  <c r="P61" i="11"/>
  <c r="P62" i="11" s="1"/>
  <c r="N39" i="15"/>
  <c r="O96" i="20"/>
  <c r="P96" i="20" s="1"/>
  <c r="P97" i="11"/>
  <c r="P98" i="11" s="1"/>
  <c r="O85" i="20"/>
  <c r="P85" i="20" s="1"/>
  <c r="P86" i="11"/>
  <c r="O84" i="20"/>
  <c r="P84" i="20" s="1"/>
  <c r="P85" i="11"/>
  <c r="N119" i="20"/>
  <c r="O100" i="20"/>
  <c r="O106" i="11"/>
  <c r="P101" i="11"/>
  <c r="O81" i="20"/>
  <c r="P82" i="11"/>
  <c r="M29" i="15"/>
  <c r="N112" i="20"/>
  <c r="N59" i="15" s="1"/>
  <c r="P140" i="11"/>
  <c r="P142" i="11" s="1"/>
  <c r="N30" i="20"/>
  <c r="N7" i="15"/>
  <c r="N14" i="15" s="1"/>
  <c r="O134" i="11"/>
  <c r="O132" i="20"/>
  <c r="O129" i="20"/>
  <c r="P73" i="15" s="1"/>
  <c r="P128" i="20"/>
  <c r="P129" i="20" s="1"/>
  <c r="O124" i="20"/>
  <c r="P125" i="11"/>
  <c r="O126" i="11"/>
  <c r="N67" i="15"/>
  <c r="E147" i="1"/>
  <c r="E107" i="15" s="1"/>
  <c r="F160" i="20"/>
  <c r="N24" i="15"/>
  <c r="O34" i="20"/>
  <c r="O39" i="11"/>
  <c r="O38" i="20" s="1"/>
  <c r="P38" i="20" s="1"/>
  <c r="O36" i="11"/>
  <c r="P35" i="11"/>
  <c r="O43" i="20"/>
  <c r="O47" i="11"/>
  <c r="O53" i="20"/>
  <c r="O55" i="11"/>
  <c r="N40" i="11"/>
  <c r="N39" i="20" s="1"/>
  <c r="N35" i="20"/>
  <c r="L50" i="20"/>
  <c r="L149" i="20" s="1"/>
  <c r="M39" i="20"/>
  <c r="M41" i="11"/>
  <c r="M49" i="11" s="1"/>
  <c r="M51" i="11" s="1"/>
  <c r="L150" i="11"/>
  <c r="C84" i="1"/>
  <c r="N136" i="1"/>
  <c r="N92" i="15" s="1"/>
  <c r="P22" i="15"/>
  <c r="C22" i="15" s="1"/>
  <c r="P42" i="15"/>
  <c r="C42" i="15" s="1"/>
  <c r="P43" i="1"/>
  <c r="C42" i="1"/>
  <c r="N44" i="15"/>
  <c r="P76" i="1"/>
  <c r="P121" i="1"/>
  <c r="C121" i="1" s="1"/>
  <c r="C119" i="1"/>
  <c r="M7" i="15"/>
  <c r="M14" i="15" s="1"/>
  <c r="N31" i="11"/>
  <c r="O7" i="11"/>
  <c r="O5" i="20" s="1"/>
  <c r="P133" i="11"/>
  <c r="P120" i="11"/>
  <c r="P87" i="11"/>
  <c r="N34" i="15"/>
  <c r="O78" i="11"/>
  <c r="P66" i="11"/>
  <c r="H145" i="1"/>
  <c r="H102" i="15" s="1"/>
  <c r="H94" i="15"/>
  <c r="E161" i="11"/>
  <c r="D109" i="15"/>
  <c r="P37" i="15"/>
  <c r="O116" i="1"/>
  <c r="O72" i="15" s="1"/>
  <c r="P115" i="1"/>
  <c r="P97" i="15"/>
  <c r="P52" i="1"/>
  <c r="C46" i="1"/>
  <c r="P92" i="1"/>
  <c r="C92" i="1" s="1"/>
  <c r="C87" i="1"/>
  <c r="C47" i="15"/>
  <c r="P103" i="1"/>
  <c r="O106" i="1"/>
  <c r="O62" i="15" s="1"/>
  <c r="P52" i="15"/>
  <c r="O99" i="1"/>
  <c r="O57" i="15" s="1"/>
  <c r="P95" i="1"/>
  <c r="P73" i="1"/>
  <c r="C73" i="1" s="1"/>
  <c r="C71" i="1"/>
  <c r="P143" i="1"/>
  <c r="C143" i="1" s="1"/>
  <c r="C139" i="1"/>
  <c r="O112" i="1"/>
  <c r="O67" i="15" s="1"/>
  <c r="P109" i="1"/>
  <c r="P128" i="1"/>
  <c r="C128" i="1" s="1"/>
  <c r="C124" i="1"/>
  <c r="P82" i="15"/>
  <c r="H19" i="15"/>
  <c r="P141" i="20" l="1"/>
  <c r="N69" i="15"/>
  <c r="P126" i="11"/>
  <c r="O134" i="1"/>
  <c r="P106" i="11"/>
  <c r="C52" i="1"/>
  <c r="P89" i="15"/>
  <c r="F147" i="1"/>
  <c r="F107" i="15" s="1"/>
  <c r="N147" i="20"/>
  <c r="P77" i="20"/>
  <c r="N64" i="15"/>
  <c r="O77" i="20"/>
  <c r="P33" i="15" s="1"/>
  <c r="O105" i="20"/>
  <c r="O54" i="15" s="1"/>
  <c r="P100" i="20"/>
  <c r="P105" i="20" s="1"/>
  <c r="P97" i="20"/>
  <c r="P81" i="20"/>
  <c r="P86" i="20" s="1"/>
  <c r="O86" i="20"/>
  <c r="P38" i="15" s="1"/>
  <c r="O112" i="20"/>
  <c r="P58" i="15" s="1"/>
  <c r="P108" i="20"/>
  <c r="P112" i="20" s="1"/>
  <c r="O90" i="20"/>
  <c r="P43" i="15" s="1"/>
  <c r="P89" i="20"/>
  <c r="P90" i="20" s="1"/>
  <c r="O97" i="20"/>
  <c r="P48" i="15" s="1"/>
  <c r="P49" i="15" s="1"/>
  <c r="O61" i="20"/>
  <c r="P57" i="20"/>
  <c r="P61" i="20" s="1"/>
  <c r="P83" i="15"/>
  <c r="P116" i="20"/>
  <c r="P119" i="20" s="1"/>
  <c r="O119" i="20"/>
  <c r="P63" i="15" s="1"/>
  <c r="N84" i="15"/>
  <c r="O133" i="20"/>
  <c r="P132" i="20"/>
  <c r="P133" i="20" s="1"/>
  <c r="O125" i="20"/>
  <c r="P68" i="15" s="1"/>
  <c r="P124" i="20"/>
  <c r="P125" i="20" s="1"/>
  <c r="G160" i="20"/>
  <c r="L158" i="20"/>
  <c r="N40" i="20"/>
  <c r="N48" i="20" s="1"/>
  <c r="P39" i="11"/>
  <c r="O40" i="11"/>
  <c r="O35" i="20"/>
  <c r="P35" i="20" s="1"/>
  <c r="P36" i="11"/>
  <c r="O148" i="11"/>
  <c r="L159" i="11"/>
  <c r="O54" i="20"/>
  <c r="P53" i="20"/>
  <c r="O46" i="20"/>
  <c r="P43" i="20"/>
  <c r="M40" i="20"/>
  <c r="M48" i="20" s="1"/>
  <c r="O7" i="20"/>
  <c r="P5" i="20"/>
  <c r="P34" i="20"/>
  <c r="N41" i="11"/>
  <c r="N49" i="11" s="1"/>
  <c r="N51" i="11" s="1"/>
  <c r="M150" i="11"/>
  <c r="M159" i="11" s="1"/>
  <c r="C65" i="1"/>
  <c r="O136" i="1"/>
  <c r="O92" i="15" s="1"/>
  <c r="C43" i="1"/>
  <c r="P77" i="1"/>
  <c r="C77" i="1" s="1"/>
  <c r="C76" i="1"/>
  <c r="P7" i="11"/>
  <c r="C77" i="11" s="1"/>
  <c r="P134" i="11"/>
  <c r="O29" i="11"/>
  <c r="P11" i="15" s="1"/>
  <c r="P29" i="11"/>
  <c r="P78" i="11"/>
  <c r="I145" i="1"/>
  <c r="I102" i="15" s="1"/>
  <c r="I94" i="15"/>
  <c r="H104" i="15"/>
  <c r="F161" i="11"/>
  <c r="E109" i="15"/>
  <c r="P67" i="15"/>
  <c r="P57" i="15"/>
  <c r="C82" i="15"/>
  <c r="P112" i="1"/>
  <c r="C112" i="1" s="1"/>
  <c r="C109" i="1"/>
  <c r="C52" i="15"/>
  <c r="P62" i="15"/>
  <c r="P116" i="1"/>
  <c r="C116" i="1" s="1"/>
  <c r="C115" i="1"/>
  <c r="P106" i="1"/>
  <c r="C106" i="1" s="1"/>
  <c r="C103" i="1"/>
  <c r="O74" i="15"/>
  <c r="P72" i="15"/>
  <c r="P99" i="1"/>
  <c r="C99" i="1" s="1"/>
  <c r="C95" i="1"/>
  <c r="P32" i="15"/>
  <c r="C27" i="15"/>
  <c r="C97" i="15"/>
  <c r="C37" i="15"/>
  <c r="O39" i="15" l="1"/>
  <c r="O64" i="15"/>
  <c r="O84" i="15"/>
  <c r="P134" i="1"/>
  <c r="Q134" i="1" s="1"/>
  <c r="O69" i="15"/>
  <c r="P53" i="15"/>
  <c r="P54" i="15" s="1"/>
  <c r="O49" i="15"/>
  <c r="G147" i="1"/>
  <c r="G107" i="15" s="1"/>
  <c r="P99" i="15"/>
  <c r="P39" i="15"/>
  <c r="O99" i="15"/>
  <c r="O59" i="15"/>
  <c r="O44" i="15"/>
  <c r="P44" i="15"/>
  <c r="P84" i="15"/>
  <c r="P28" i="15"/>
  <c r="P29" i="15" s="1"/>
  <c r="O29" i="15"/>
  <c r="Q29" i="11"/>
  <c r="M50" i="20"/>
  <c r="M149" i="20" s="1"/>
  <c r="O147" i="20"/>
  <c r="N50" i="20"/>
  <c r="N149" i="20" s="1"/>
  <c r="O30" i="20"/>
  <c r="P30" i="20" s="1"/>
  <c r="P6" i="15"/>
  <c r="C33" i="15" s="1"/>
  <c r="P78" i="15"/>
  <c r="P79" i="15" s="1"/>
  <c r="O79" i="15"/>
  <c r="H160" i="20"/>
  <c r="C25" i="11"/>
  <c r="P54" i="20"/>
  <c r="P148" i="11"/>
  <c r="Q148" i="11" s="1"/>
  <c r="P7" i="20"/>
  <c r="P46" i="20"/>
  <c r="O39" i="20"/>
  <c r="P40" i="11"/>
  <c r="P41" i="11" s="1"/>
  <c r="P49" i="11" s="1"/>
  <c r="Q49" i="11" s="1"/>
  <c r="O41" i="11"/>
  <c r="O49" i="11" s="1"/>
  <c r="N150" i="11"/>
  <c r="N159" i="11" s="1"/>
  <c r="C83" i="11"/>
  <c r="C21" i="11"/>
  <c r="C18" i="11"/>
  <c r="C17" i="11"/>
  <c r="C16" i="11"/>
  <c r="C23" i="11"/>
  <c r="C26" i="11"/>
  <c r="C13" i="11"/>
  <c r="C20" i="11"/>
  <c r="C24" i="11"/>
  <c r="C19" i="11"/>
  <c r="C15" i="11"/>
  <c r="C27" i="11"/>
  <c r="C22" i="11"/>
  <c r="C138" i="11"/>
  <c r="P136" i="1"/>
  <c r="Q136" i="1" s="1"/>
  <c r="C74" i="11"/>
  <c r="C75" i="11"/>
  <c r="C10" i="11"/>
  <c r="C14" i="11"/>
  <c r="O34" i="15"/>
  <c r="C29" i="11"/>
  <c r="C134" i="11"/>
  <c r="C133" i="11"/>
  <c r="C36" i="11"/>
  <c r="C37" i="11"/>
  <c r="C94" i="11"/>
  <c r="C111" i="11"/>
  <c r="C58" i="11"/>
  <c r="C45" i="11"/>
  <c r="C72" i="11"/>
  <c r="C38" i="11"/>
  <c r="C119" i="11"/>
  <c r="C73" i="11"/>
  <c r="C68" i="11"/>
  <c r="C67" i="11"/>
  <c r="C5" i="11"/>
  <c r="C102" i="11"/>
  <c r="C46" i="11"/>
  <c r="C118" i="11"/>
  <c r="C97" i="11"/>
  <c r="C155" i="11"/>
  <c r="C34" i="11"/>
  <c r="C139" i="11"/>
  <c r="C110" i="11"/>
  <c r="C44" i="11"/>
  <c r="C7" i="11"/>
  <c r="C129" i="11"/>
  <c r="C105" i="11"/>
  <c r="C70" i="11"/>
  <c r="C104" i="11"/>
  <c r="C96" i="11"/>
  <c r="C125" i="11"/>
  <c r="C130" i="11"/>
  <c r="C81" i="11"/>
  <c r="C39" i="11"/>
  <c r="C137" i="11"/>
  <c r="C71" i="11"/>
  <c r="C82" i="11"/>
  <c r="C103" i="11"/>
  <c r="C28" i="11"/>
  <c r="C85" i="11"/>
  <c r="C117" i="11"/>
  <c r="C60" i="11"/>
  <c r="C35" i="11"/>
  <c r="C86" i="11"/>
  <c r="C154" i="11"/>
  <c r="C123" i="11"/>
  <c r="C12" i="11"/>
  <c r="C6" i="11"/>
  <c r="C65" i="11"/>
  <c r="C156" i="11"/>
  <c r="C112" i="11"/>
  <c r="C61" i="11"/>
  <c r="C69" i="11"/>
  <c r="C76" i="11"/>
  <c r="C84" i="11"/>
  <c r="C47" i="11"/>
  <c r="C109" i="11"/>
  <c r="C140" i="11"/>
  <c r="C90" i="11"/>
  <c r="C59" i="11"/>
  <c r="C113" i="11"/>
  <c r="C54" i="11"/>
  <c r="C55" i="11"/>
  <c r="C62" i="11"/>
  <c r="C145" i="11"/>
  <c r="C95" i="11"/>
  <c r="C141" i="11"/>
  <c r="C124" i="11"/>
  <c r="C91" i="11"/>
  <c r="C153" i="11"/>
  <c r="C101" i="11"/>
  <c r="C146" i="11"/>
  <c r="C116" i="11"/>
  <c r="C98" i="11"/>
  <c r="C157" i="11"/>
  <c r="C142" i="11"/>
  <c r="C106" i="11"/>
  <c r="C126" i="11"/>
  <c r="C66" i="11"/>
  <c r="C87" i="11"/>
  <c r="O31" i="11"/>
  <c r="C120" i="11"/>
  <c r="IV7" i="11"/>
  <c r="C78" i="11"/>
  <c r="J145" i="1"/>
  <c r="J102" i="15" s="1"/>
  <c r="J94" i="15"/>
  <c r="I104" i="15"/>
  <c r="K145" i="1"/>
  <c r="K94" i="15"/>
  <c r="G161" i="11"/>
  <c r="F109" i="15"/>
  <c r="O12" i="15"/>
  <c r="P34" i="15"/>
  <c r="C32" i="15"/>
  <c r="P74" i="15"/>
  <c r="C72" i="15"/>
  <c r="P59" i="15"/>
  <c r="C57" i="15"/>
  <c r="P64" i="15"/>
  <c r="C62" i="15"/>
  <c r="P69" i="15"/>
  <c r="C67" i="15"/>
  <c r="K19" i="15"/>
  <c r="J19" i="15"/>
  <c r="O7" i="15" l="1"/>
  <c r="O14" i="15" s="1"/>
  <c r="P14" i="15" s="1"/>
  <c r="N158" i="20"/>
  <c r="M158" i="20"/>
  <c r="H147" i="1"/>
  <c r="H107" i="15" s="1"/>
  <c r="C41" i="11"/>
  <c r="C40" i="11"/>
  <c r="P23" i="15"/>
  <c r="P24" i="15" s="1"/>
  <c r="O24" i="15"/>
  <c r="K102" i="15"/>
  <c r="K104" i="15" s="1"/>
  <c r="I160" i="20"/>
  <c r="C5" i="20"/>
  <c r="C76" i="20"/>
  <c r="C30" i="20"/>
  <c r="C43" i="20"/>
  <c r="C53" i="20"/>
  <c r="C46" i="20"/>
  <c r="C34" i="20"/>
  <c r="C54" i="20"/>
  <c r="P147" i="20"/>
  <c r="O51" i="11"/>
  <c r="O150" i="11" s="1"/>
  <c r="P39" i="20"/>
  <c r="O40" i="20"/>
  <c r="O48" i="20" s="1"/>
  <c r="C6" i="20"/>
  <c r="C123" i="20"/>
  <c r="C85" i="20"/>
  <c r="C67" i="20"/>
  <c r="C154" i="20"/>
  <c r="C16" i="20"/>
  <c r="C24" i="20"/>
  <c r="C23" i="20"/>
  <c r="C155" i="20"/>
  <c r="C73" i="20"/>
  <c r="C104" i="20"/>
  <c r="C136" i="20"/>
  <c r="C17" i="20"/>
  <c r="C19" i="20"/>
  <c r="C137" i="20"/>
  <c r="C20" i="20"/>
  <c r="C69" i="20"/>
  <c r="C110" i="20"/>
  <c r="C68" i="20"/>
  <c r="C59" i="20"/>
  <c r="C109" i="20"/>
  <c r="C14" i="20"/>
  <c r="C58" i="20"/>
  <c r="C36" i="20"/>
  <c r="C65" i="20"/>
  <c r="C66" i="20"/>
  <c r="C15" i="20"/>
  <c r="C37" i="20"/>
  <c r="C111" i="20"/>
  <c r="C95" i="20"/>
  <c r="C118" i="20"/>
  <c r="C7" i="20"/>
  <c r="C22" i="20"/>
  <c r="C94" i="20"/>
  <c r="C153" i="20"/>
  <c r="C84" i="20"/>
  <c r="C70" i="20"/>
  <c r="C74" i="20"/>
  <c r="C82" i="20"/>
  <c r="C96" i="20"/>
  <c r="C83" i="20"/>
  <c r="C81" i="20"/>
  <c r="C139" i="20"/>
  <c r="C117" i="20"/>
  <c r="C102" i="20"/>
  <c r="C124" i="20"/>
  <c r="C75" i="20"/>
  <c r="C72" i="20"/>
  <c r="C103" i="20"/>
  <c r="C101" i="20"/>
  <c r="C140" i="20"/>
  <c r="C60" i="20"/>
  <c r="C71" i="20"/>
  <c r="C116" i="20"/>
  <c r="C93" i="20"/>
  <c r="C100" i="20"/>
  <c r="C97" i="20"/>
  <c r="C144" i="20"/>
  <c r="C105" i="20"/>
  <c r="C145" i="20"/>
  <c r="C64" i="20"/>
  <c r="C115" i="20"/>
  <c r="C128" i="20"/>
  <c r="C152" i="20"/>
  <c r="C129" i="20"/>
  <c r="C138" i="20"/>
  <c r="C80" i="20"/>
  <c r="C108" i="20"/>
  <c r="C77" i="20"/>
  <c r="C57" i="20"/>
  <c r="C132" i="20"/>
  <c r="C89" i="20"/>
  <c r="C156" i="20"/>
  <c r="C119" i="20"/>
  <c r="C122" i="20"/>
  <c r="C133" i="20"/>
  <c r="C86" i="20"/>
  <c r="C112" i="20"/>
  <c r="C61" i="20"/>
  <c r="C141" i="20"/>
  <c r="C125" i="20"/>
  <c r="C90" i="20"/>
  <c r="C12" i="20"/>
  <c r="C18" i="20"/>
  <c r="C13" i="20"/>
  <c r="C25" i="20"/>
  <c r="C26" i="20"/>
  <c r="C27" i="20"/>
  <c r="C45" i="20"/>
  <c r="C21" i="20"/>
  <c r="C10" i="20"/>
  <c r="C33" i="20"/>
  <c r="C44" i="20"/>
  <c r="C11" i="20"/>
  <c r="C28" i="20"/>
  <c r="IV7" i="20"/>
  <c r="C38" i="20"/>
  <c r="C35" i="20"/>
  <c r="C11" i="15"/>
  <c r="P31" i="11"/>
  <c r="P51" i="11" s="1"/>
  <c r="P150" i="11" s="1"/>
  <c r="C73" i="15"/>
  <c r="C43" i="15"/>
  <c r="C58" i="15"/>
  <c r="C28" i="15"/>
  <c r="C53" i="15"/>
  <c r="C88" i="15"/>
  <c r="C98" i="15"/>
  <c r="C38" i="15"/>
  <c r="C68" i="15"/>
  <c r="C48" i="15"/>
  <c r="C78" i="15"/>
  <c r="C63" i="15"/>
  <c r="C83" i="15"/>
  <c r="P7" i="15"/>
  <c r="C69" i="15" s="1"/>
  <c r="J104" i="15"/>
  <c r="H161" i="11"/>
  <c r="G109" i="15"/>
  <c r="P12" i="15"/>
  <c r="I147" i="1" l="1"/>
  <c r="I107" i="15" s="1"/>
  <c r="C23" i="15"/>
  <c r="O50" i="20"/>
  <c r="O149" i="20" s="1"/>
  <c r="O158" i="20" s="1"/>
  <c r="P18" i="15"/>
  <c r="C18" i="15" s="1"/>
  <c r="J160" i="20"/>
  <c r="C39" i="20"/>
  <c r="P40" i="20"/>
  <c r="Q51" i="11"/>
  <c r="Q150" i="11"/>
  <c r="C51" i="11"/>
  <c r="C12" i="15"/>
  <c r="C14" i="15"/>
  <c r="C89" i="15"/>
  <c r="C54" i="15"/>
  <c r="C7" i="15"/>
  <c r="C44" i="15"/>
  <c r="C79" i="15"/>
  <c r="C49" i="15"/>
  <c r="C39" i="15"/>
  <c r="C5" i="15"/>
  <c r="C6" i="15"/>
  <c r="C99" i="15"/>
  <c r="C29" i="15"/>
  <c r="C24" i="15"/>
  <c r="C84" i="15"/>
  <c r="C74" i="15"/>
  <c r="C59" i="15"/>
  <c r="C64" i="15"/>
  <c r="O159" i="11"/>
  <c r="IV7" i="15"/>
  <c r="C34" i="15"/>
  <c r="C31" i="11"/>
  <c r="L145" i="1"/>
  <c r="L102" i="15" s="1"/>
  <c r="L94" i="15"/>
  <c r="I161" i="11"/>
  <c r="H109" i="15"/>
  <c r="M19" i="15"/>
  <c r="P27" i="1"/>
  <c r="L19" i="15"/>
  <c r="P37" i="1" l="1"/>
  <c r="Q37" i="1" s="1"/>
  <c r="Q27" i="1"/>
  <c r="J147" i="1"/>
  <c r="J107" i="15" s="1"/>
  <c r="K160" i="20"/>
  <c r="C40" i="20"/>
  <c r="P48" i="20"/>
  <c r="C27" i="1"/>
  <c r="C150" i="11"/>
  <c r="C93" i="15" s="1"/>
  <c r="P159" i="11"/>
  <c r="M145" i="1"/>
  <c r="M102" i="15" s="1"/>
  <c r="M94" i="15"/>
  <c r="L104" i="15"/>
  <c r="N145" i="1"/>
  <c r="N94" i="15"/>
  <c r="J161" i="11"/>
  <c r="I109" i="15"/>
  <c r="N19" i="15"/>
  <c r="K147" i="1" l="1"/>
  <c r="K107" i="15" s="1"/>
  <c r="N102" i="15"/>
  <c r="N104" i="15" s="1"/>
  <c r="L160" i="20"/>
  <c r="P50" i="20"/>
  <c r="C159" i="11"/>
  <c r="M104" i="15"/>
  <c r="K161" i="11"/>
  <c r="J109" i="15"/>
  <c r="C35" i="1"/>
  <c r="P92" i="15"/>
  <c r="L147" i="1" l="1"/>
  <c r="L107" i="15" s="1"/>
  <c r="M160" i="20"/>
  <c r="P149" i="20"/>
  <c r="C50" i="20"/>
  <c r="O145" i="1"/>
  <c r="O102" i="15" s="1"/>
  <c r="O94" i="15"/>
  <c r="L161" i="11"/>
  <c r="K109" i="15"/>
  <c r="O19" i="15"/>
  <c r="P17" i="15"/>
  <c r="C136" i="1"/>
  <c r="C92" i="15" s="1"/>
  <c r="P145" i="1"/>
  <c r="P94" i="15" l="1"/>
  <c r="C94" i="15" s="1"/>
  <c r="Q149" i="20"/>
  <c r="M147" i="1"/>
  <c r="N147" i="1" s="1"/>
  <c r="N107" i="15" s="1"/>
  <c r="N160" i="20"/>
  <c r="P158" i="20"/>
  <c r="C149" i="20"/>
  <c r="O104" i="15"/>
  <c r="C145" i="1"/>
  <c r="P102" i="15"/>
  <c r="M161" i="11"/>
  <c r="L109" i="15"/>
  <c r="P19" i="15"/>
  <c r="C17" i="15"/>
  <c r="M107" i="15" l="1"/>
  <c r="M109" i="15" s="1"/>
  <c r="O147" i="1"/>
  <c r="O107" i="15" s="1"/>
  <c r="O160" i="20"/>
  <c r="C158" i="20"/>
  <c r="P104" i="15"/>
  <c r="C104" i="15" s="1"/>
  <c r="N161" i="11"/>
  <c r="C19" i="15"/>
  <c r="P147" i="1" l="1"/>
  <c r="P107" i="15" s="1"/>
  <c r="P160" i="20"/>
  <c r="O161" i="11"/>
  <c r="N109" i="15"/>
  <c r="P161" i="11" l="1"/>
  <c r="P109" i="15" s="1"/>
  <c r="O109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ALDOBALANSE 1_10_2008_ALLEKTO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SALDOBALANSE 1_10_2008_ALLEKTO1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3000000}" name="SALDOBALANSE 1_10_2008_ALLEKTO12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4000000}" name="SALDOBALANSE 1_10_2008_ALLEKTO121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5000000}" name="SALDOBALANSE 1_10_2008_ALLEKTO2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6000000}" name="SALDOBALANSE 1_10_2008_ALLEKTO3" type="6" refreshedVersion="1" background="1" saveData="1">
    <textPr codePage="1144" sourceFile="C:\Documents and Settings\morten\Skrivebord\Økonomi\Tekstfil\SALDOBALANSE 1_10_2008_ALLEKTO" thousands=" " delimiter="&quot;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<sst xmlns="http://schemas.openxmlformats.org/spreadsheetml/2006/main" count="1103" uniqueCount="411">
  <si>
    <t>Konto</t>
  </si>
  <si>
    <t>Kontonavn</t>
  </si>
  <si>
    <t>Mai</t>
  </si>
  <si>
    <t>Total</t>
  </si>
  <si>
    <t>INNTEKTER</t>
  </si>
  <si>
    <t>VAREKOSTNADER</t>
  </si>
  <si>
    <t>DEKNINGSGRAD 1</t>
  </si>
  <si>
    <t>Arbeidsgiveravgift</t>
  </si>
  <si>
    <t>Andre sosiale kostnader</t>
  </si>
  <si>
    <t>AVSKRIVNINGER</t>
  </si>
  <si>
    <t>KOSTNADER LOKALER</t>
  </si>
  <si>
    <t>Renhold</t>
  </si>
  <si>
    <t>Annen kostnad lokaler</t>
  </si>
  <si>
    <t>Reparasjoner og vedlikehold utstyr</t>
  </si>
  <si>
    <t>Revisjonshonorar</t>
  </si>
  <si>
    <t>Regnskapshonorar</t>
  </si>
  <si>
    <t>DRIFTSRESULTAT</t>
  </si>
  <si>
    <t>FINANS</t>
  </si>
  <si>
    <t>Leie lokaler</t>
  </si>
  <si>
    <t>%</t>
  </si>
  <si>
    <t>Styrehonorar</t>
  </si>
  <si>
    <t>Avskrivning maskiner mv</t>
  </si>
  <si>
    <t>OVERSKUDD/UNDERSKUDD</t>
  </si>
  <si>
    <t>AKKUMULERT - OVERSKUDD/UNDERSKUDD</t>
  </si>
  <si>
    <t>Arbeidsgiveravgift påløpne feriepenger</t>
  </si>
  <si>
    <t>Jan</t>
  </si>
  <si>
    <t>Mar</t>
  </si>
  <si>
    <t>Apr</t>
  </si>
  <si>
    <t>Jun</t>
  </si>
  <si>
    <t>Jul</t>
  </si>
  <si>
    <t>Aug</t>
  </si>
  <si>
    <t>Sep</t>
  </si>
  <si>
    <t>Okt</t>
  </si>
  <si>
    <t>Nov</t>
  </si>
  <si>
    <t>Des</t>
  </si>
  <si>
    <t>Feb</t>
  </si>
  <si>
    <t>Sum inntekter</t>
  </si>
  <si>
    <t>Sum avskrivninger</t>
  </si>
  <si>
    <t>Sum kostnader lokaler</t>
  </si>
  <si>
    <t>Sum finansinntekter-/kostnader</t>
  </si>
  <si>
    <t>Sum lønn og personalkostnader</t>
  </si>
  <si>
    <t>LØNN OG PERSONALKOSTNADER</t>
  </si>
  <si>
    <t>Forutsetninger omsetning og lønn</t>
  </si>
  <si>
    <t>Ordinære time</t>
  </si>
  <si>
    <t>Sum ordinære timer</t>
  </si>
  <si>
    <t>Sats</t>
  </si>
  <si>
    <t>Sykepenger</t>
  </si>
  <si>
    <t>Drivstoff transportmidler</t>
  </si>
  <si>
    <t>Vedlikehold transportmidler</t>
  </si>
  <si>
    <t>Forsikring transportmidler</t>
  </si>
  <si>
    <t>Tap på kundefordringer</t>
  </si>
  <si>
    <t>Renteinntekter</t>
  </si>
  <si>
    <t>Rentekostnader</t>
  </si>
  <si>
    <t>Jan Roger Nikolaisen</t>
  </si>
  <si>
    <t>Alf-Magne Nikolaisen</t>
  </si>
  <si>
    <t>Yrkesskadeforsikring</t>
  </si>
  <si>
    <t>Inntekter malerarbeid</t>
  </si>
  <si>
    <t>Inntekter byggearbeid</t>
  </si>
  <si>
    <t>Richard Flage</t>
  </si>
  <si>
    <t>Varekjøp malerarbeid</t>
  </si>
  <si>
    <t>Varekjøp byggearbeid</t>
  </si>
  <si>
    <t>AREAL BYGGSERVICE AS</t>
  </si>
  <si>
    <t>Stanislaw Kmak</t>
  </si>
  <si>
    <t>Piotr Kmak</t>
  </si>
  <si>
    <t>Damian Debek</t>
  </si>
  <si>
    <t>,</t>
  </si>
  <si>
    <t>M</t>
  </si>
  <si>
    <t>B</t>
  </si>
  <si>
    <t>Sum malertimer</t>
  </si>
  <si>
    <t>Sum byggetimer</t>
  </si>
  <si>
    <t>Produksjonsavfall</t>
  </si>
  <si>
    <t>Leie stillas/utstyr/container</t>
  </si>
  <si>
    <t>Sum lønn før sosiale kostnader</t>
  </si>
  <si>
    <t>Gzregorz Kurcharski (Bolek)</t>
  </si>
  <si>
    <t>LEIE MASKINER OG UTSTYR</t>
  </si>
  <si>
    <t>Sum leie maskiner og utstyr</t>
  </si>
  <si>
    <t>KOSTNADSFØRTE ANSKAFFELSER</t>
  </si>
  <si>
    <t>Sum kostnadsførte anskaffelser</t>
  </si>
  <si>
    <t>Arbeidsklær og verneutstyr</t>
  </si>
  <si>
    <t>Inventar/utstyr ikke akt. pliktig</t>
  </si>
  <si>
    <t>REPARASJONER OG VEDLIKEHOLD</t>
  </si>
  <si>
    <t>Sum reparasjoner og vedlikehold</t>
  </si>
  <si>
    <t>Honorar juridisk bistand</t>
  </si>
  <si>
    <t>EKSTERNE HONORARER</t>
  </si>
  <si>
    <t>Sum eksterne honorarer</t>
  </si>
  <si>
    <t>KONTORKOSTNADER</t>
  </si>
  <si>
    <t>Sum kontorkostnader</t>
  </si>
  <si>
    <t>Kontorrekvisita</t>
  </si>
  <si>
    <t>Porto</t>
  </si>
  <si>
    <t>Annen kontorkostnad</t>
  </si>
  <si>
    <t>BILKOSTNADER</t>
  </si>
  <si>
    <t>Sum bilkostnader</t>
  </si>
  <si>
    <t>Annen kostnad transportmidler</t>
  </si>
  <si>
    <t>Sum reise, diett og bilgodtgjørelse</t>
  </si>
  <si>
    <t>Bilgodtgjørelse oppgavepliktig</t>
  </si>
  <si>
    <t>Reisekostnader, ikke innberetningspliktig</t>
  </si>
  <si>
    <t>Reise/diett oppgavelpliktig</t>
  </si>
  <si>
    <t>Diettkostnad, ikke oppgavepliktig</t>
  </si>
  <si>
    <t>SALGS- OG REKLAMEKOSTNADER</t>
  </si>
  <si>
    <t>Sum salgs- og reklamekostnader</t>
  </si>
  <si>
    <t>Reklame og annonser</t>
  </si>
  <si>
    <t>Reklameartikler</t>
  </si>
  <si>
    <t>Annen salgskostnad</t>
  </si>
  <si>
    <t>GAVER OG KONTIGENTER</t>
  </si>
  <si>
    <t>Sum gaver og kontigenter</t>
  </si>
  <si>
    <t>Kontigenter, fradragsberettigede</t>
  </si>
  <si>
    <t>FORSIKRINGER</t>
  </si>
  <si>
    <t>Forsikringspremie</t>
  </si>
  <si>
    <t>Sum forsikringer</t>
  </si>
  <si>
    <t>ANDRE KOSTNADER</t>
  </si>
  <si>
    <t>Sum andre kostnader</t>
  </si>
  <si>
    <t>Møter og kurs</t>
  </si>
  <si>
    <t>Bankgebyr</t>
  </si>
  <si>
    <t>Diverse kostnader</t>
  </si>
  <si>
    <t>Diverse kostnader, ikke fradragsberettigede</t>
  </si>
  <si>
    <t>TAP/GEVINST</t>
  </si>
  <si>
    <t>Sum tap/gevinst</t>
  </si>
  <si>
    <t>Renter/provisjon kassekreditt</t>
  </si>
  <si>
    <t>Renter leverandører</t>
  </si>
  <si>
    <t>Sum varekostnader</t>
  </si>
  <si>
    <t>BORGEN, TORE</t>
  </si>
  <si>
    <t>HANSEN, ROY-ATLE</t>
  </si>
  <si>
    <t>SANDVIK, MORTEN JAKOB</t>
  </si>
  <si>
    <t>ALEXANDERSEN, JAN ERIK</t>
  </si>
  <si>
    <t>BYGGMESTER FRITZØE AS</t>
  </si>
  <si>
    <t>Gangtid 7,5 - 15 km</t>
  </si>
  <si>
    <t>Areal Byggservice</t>
  </si>
  <si>
    <t>Byggmester Fritzøe</t>
  </si>
  <si>
    <t>AREAL BYGGSERVICE, BYGGMESTER FRITZØE OG BLIKKPROFFEN</t>
  </si>
  <si>
    <t>REISE, DIETT OG BILGODTGJØRELSE</t>
  </si>
  <si>
    <t>Adm</t>
  </si>
  <si>
    <t>Lønn til ansatte</t>
  </si>
  <si>
    <t>Feriepenger</t>
  </si>
  <si>
    <t>Innskuddsbasert tjenestepensjon</t>
  </si>
  <si>
    <t>Andre personalkostnader</t>
  </si>
  <si>
    <t>Strøm</t>
  </si>
  <si>
    <t>Andre kostnader lokaler</t>
  </si>
  <si>
    <t>BJARNE DANIELSEN</t>
  </si>
  <si>
    <t>Richard Sandåker</t>
  </si>
  <si>
    <t>feriedager</t>
  </si>
  <si>
    <t>A</t>
  </si>
  <si>
    <t>Sum adm. timer</t>
  </si>
  <si>
    <t>Inntekter maler- og byggearbeid</t>
  </si>
  <si>
    <t>Bev Helligd</t>
  </si>
  <si>
    <t>Arbeidsdager</t>
  </si>
  <si>
    <t>Lønnskost helligdager</t>
  </si>
  <si>
    <t>Leasing Ford Transit Connect YE94624</t>
  </si>
  <si>
    <t>Leasing Ford Transit Custom YE96637</t>
  </si>
  <si>
    <t>Leasing Ford Ranger YE92021</t>
  </si>
  <si>
    <t>Leasing Ford Transit Connect YE86253</t>
  </si>
  <si>
    <t>Leasing Ford Transit 300M YE83799</t>
  </si>
  <si>
    <t>Leasing Ford Transit Custom YE95696</t>
  </si>
  <si>
    <t>Leasing Ford Transit Custom YE96636</t>
  </si>
  <si>
    <t>Annen leiekostnad</t>
  </si>
  <si>
    <t>Andre driftskostnader</t>
  </si>
  <si>
    <t>Garantikostnader</t>
  </si>
  <si>
    <t>Andre Skoglund</t>
  </si>
  <si>
    <t>Lars Børge Olsen</t>
  </si>
  <si>
    <t>Timelønn</t>
  </si>
  <si>
    <t>Darius Fulgeanu</t>
  </si>
  <si>
    <t>Snitt Dagtimer</t>
  </si>
  <si>
    <t>Prosj</t>
  </si>
  <si>
    <t>Serv</t>
  </si>
  <si>
    <t>Sum Servicetimer</t>
  </si>
  <si>
    <t>Sum Prosjekttimer</t>
  </si>
  <si>
    <t>Sum Driftsresultat</t>
  </si>
  <si>
    <t>Sum overskudd/underskudd</t>
  </si>
  <si>
    <t>Sum akkumulert overskudd/underskudd</t>
  </si>
  <si>
    <t>Administrasjonens forslag - ikke styrebehandlet</t>
  </si>
  <si>
    <t>Leasing varebil YE98483</t>
  </si>
  <si>
    <t>Leasing varebil YE98231</t>
  </si>
  <si>
    <t>Varekjøp Prosjekt</t>
  </si>
  <si>
    <t>Inntekter Prosjekt</t>
  </si>
  <si>
    <t>Inntekter underleverandører Prosjekt</t>
  </si>
  <si>
    <t>Inntekter Service</t>
  </si>
  <si>
    <t>Inntekter materiell Service</t>
  </si>
  <si>
    <t>Reise/diett oppgavepliktig</t>
  </si>
  <si>
    <t>RESULTATBUDSJETT - 2017</t>
  </si>
  <si>
    <t>Lønnsøkning</t>
  </si>
  <si>
    <t>Leasing varebil YF10453</t>
  </si>
  <si>
    <t>Aviser og tidsskrifter</t>
  </si>
  <si>
    <t>AIN VABRIT</t>
  </si>
  <si>
    <t>MARKO METSALA</t>
  </si>
  <si>
    <t>DANIEL UMBRES</t>
  </si>
  <si>
    <t>SEBASTIAN SIMONSEN</t>
  </si>
  <si>
    <t>ANDREAS SKOGHEIM</t>
  </si>
  <si>
    <t>Varekjøp Materiell</t>
  </si>
  <si>
    <t>Innkjøpte tjenester - VVS</t>
  </si>
  <si>
    <t>Innkjøpte tjenester - EL</t>
  </si>
  <si>
    <t>Byggestrøm</t>
  </si>
  <si>
    <t>Leasing Ford Transit Custom YE98782</t>
  </si>
  <si>
    <t>Leasing Ford Transit Custom YE98781</t>
  </si>
  <si>
    <t>Gaver og kontigenter</t>
  </si>
  <si>
    <t>Servicekostnader</t>
  </si>
  <si>
    <t>Thomas Gravrok</t>
  </si>
  <si>
    <t>Martin Olsen</t>
  </si>
  <si>
    <t>Tommy Johnsen</t>
  </si>
  <si>
    <t>Sesongarbeider utemaling</t>
  </si>
  <si>
    <t>Inntekter UE</t>
  </si>
  <si>
    <t>Verktøy</t>
  </si>
  <si>
    <t>Inventar</t>
  </si>
  <si>
    <t>IT-utstyr og telefoner</t>
  </si>
  <si>
    <t>Lisenser dataprogram</t>
  </si>
  <si>
    <t>Mobiltelefon (ab)</t>
  </si>
  <si>
    <t>IT-kostnader</t>
  </si>
  <si>
    <t>Overtid</t>
  </si>
  <si>
    <t>Kurskostnader</t>
  </si>
  <si>
    <t>LØNNSKOSTNADER</t>
  </si>
  <si>
    <t>Sum lønnskostnader</t>
  </si>
  <si>
    <t>ANDRE PERSONALKOSTNADER</t>
  </si>
  <si>
    <t>Sum andre personalkostnader</t>
  </si>
  <si>
    <t>SUM LØNNS- OG PERSONALKOSTNADER</t>
  </si>
  <si>
    <t>Leasing YF10916 Ford Transit Courier</t>
  </si>
  <si>
    <t>Leasing YF11564 Ford Transit Custom</t>
  </si>
  <si>
    <t>Konserntjenester</t>
  </si>
  <si>
    <t>HANS-OLAV AAKRE</t>
  </si>
  <si>
    <t>TORE HAUBAKK</t>
  </si>
  <si>
    <t>SANDER NIKOLAISEN</t>
  </si>
  <si>
    <t>FRITZØE, HANS PETTER (40 %)</t>
  </si>
  <si>
    <t>Varekost materiell</t>
  </si>
  <si>
    <t>Inntekter Areal</t>
  </si>
  <si>
    <t>Kost Areal</t>
  </si>
  <si>
    <t>Inntekter andre UE</t>
  </si>
  <si>
    <t>Kost andre UE</t>
  </si>
  <si>
    <t>AREAL-GRUPPEN AS</t>
  </si>
  <si>
    <t>IT-kostnader (viderefakt)</t>
  </si>
  <si>
    <t>Kantinekostnader (viderefakt)</t>
  </si>
  <si>
    <t>Husleie (viderefakt)</t>
  </si>
  <si>
    <t>Øvrige felleskostnader (viderefakt)</t>
  </si>
  <si>
    <t>Fakturering konsernkostnader</t>
  </si>
  <si>
    <t>Renhold (viderefakt)</t>
  </si>
  <si>
    <t>Strøm (viderefakt)</t>
  </si>
  <si>
    <t>Areal</t>
  </si>
  <si>
    <t>Fritzøe</t>
  </si>
  <si>
    <t>Blikk</t>
  </si>
  <si>
    <t>Husleie</t>
  </si>
  <si>
    <t>Påslag</t>
  </si>
  <si>
    <t>Andel</t>
  </si>
  <si>
    <t>IT-drift</t>
  </si>
  <si>
    <t>Øvrige felleskostnader</t>
  </si>
  <si>
    <t>Øvrige konsernkostnader</t>
  </si>
  <si>
    <t>Innleie Skanska</t>
  </si>
  <si>
    <t>Stretch</t>
  </si>
  <si>
    <t>16-17 mnok</t>
  </si>
  <si>
    <t>DEKNINGSGRAD 2</t>
  </si>
  <si>
    <t xml:space="preserve">Produksjonsavfall </t>
  </si>
  <si>
    <t>Innkjøpte tjenester - MAL</t>
  </si>
  <si>
    <t>Innkjøpte tjenester - Service</t>
  </si>
  <si>
    <t>Innkjøpte tjenester - Bemanning</t>
  </si>
  <si>
    <t>Stillas/Utstyr</t>
  </si>
  <si>
    <t>Arkitekt prosjektering</t>
  </si>
  <si>
    <t>Innkjøpte tjenester - Arkitekt/prosjektering</t>
  </si>
  <si>
    <t>Innkjøpte tjenester - Grunnarbeid</t>
  </si>
  <si>
    <t>Innkjøpte tjenester - Kjøkken</t>
  </si>
  <si>
    <t>Innkjøpte tjenester - Betong</t>
  </si>
  <si>
    <t>Innkjøpte tjenester - Glass</t>
  </si>
  <si>
    <t>Innkjøpte tjenester - Trapper</t>
  </si>
  <si>
    <t>Innkjøpte tjenester - Tak og tekking</t>
  </si>
  <si>
    <t>Innkjøpte tjenester - Transport og kraning</t>
  </si>
  <si>
    <t>SUM ANDRE DRIFTSKOSTNADER</t>
  </si>
  <si>
    <t>R Hansen 2</t>
  </si>
  <si>
    <t>Mørkved terrasse</t>
  </si>
  <si>
    <t>R Hansen 3</t>
  </si>
  <si>
    <t>Nytt oppdrag</t>
  </si>
  <si>
    <t>Hus 1</t>
  </si>
  <si>
    <t>EL</t>
  </si>
  <si>
    <t>Hus 2</t>
  </si>
  <si>
    <t>Hus 3</t>
  </si>
  <si>
    <t>Hus 4</t>
  </si>
  <si>
    <t>Hus 5</t>
  </si>
  <si>
    <t>Hus 6</t>
  </si>
  <si>
    <t>Hus 7</t>
  </si>
  <si>
    <t>Hus 8</t>
  </si>
  <si>
    <t>VVS</t>
  </si>
  <si>
    <t>BET</t>
  </si>
  <si>
    <t>KJØ</t>
  </si>
  <si>
    <t>Innkjøpte tjenester - Flisarbeider</t>
  </si>
  <si>
    <t>FLIS</t>
  </si>
  <si>
    <t>Trapp</t>
  </si>
  <si>
    <t>MAL</t>
  </si>
  <si>
    <t>Protan</t>
  </si>
  <si>
    <t>Flex</t>
  </si>
  <si>
    <t>BGR</t>
  </si>
  <si>
    <t>Varekjøp RH</t>
  </si>
  <si>
    <t>Varekjøp MT</t>
  </si>
  <si>
    <t>Varekjøp NYTT</t>
  </si>
  <si>
    <t>Varekjøp Byggevarer</t>
  </si>
  <si>
    <t>Leasing Malthus arbeidsbrakke</t>
  </si>
  <si>
    <t>Leasing stillasje Instant</t>
  </si>
  <si>
    <t>Leasing Hardangerstillasje</t>
  </si>
  <si>
    <t>Søppel</t>
  </si>
  <si>
    <t>Heising</t>
  </si>
  <si>
    <t>Stillas/Uystyr/Con</t>
  </si>
  <si>
    <t>Drift</t>
  </si>
  <si>
    <t>Rigging</t>
  </si>
  <si>
    <t>Glass</t>
  </si>
  <si>
    <t>Tekking</t>
  </si>
  <si>
    <t>Flexit</t>
  </si>
  <si>
    <t xml:space="preserve">Øvrige varer </t>
  </si>
  <si>
    <t xml:space="preserve">Timer </t>
  </si>
  <si>
    <t>+ stillas</t>
  </si>
  <si>
    <t>Timeverk</t>
  </si>
  <si>
    <t>Hyb</t>
  </si>
  <si>
    <t>Utv</t>
  </si>
  <si>
    <t>Ex cp</t>
  </si>
  <si>
    <t>basis</t>
  </si>
  <si>
    <t>Varer</t>
  </si>
  <si>
    <t>Basis</t>
  </si>
  <si>
    <t>Hybel</t>
  </si>
  <si>
    <t xml:space="preserve">Sum varer </t>
  </si>
  <si>
    <t>Sjøåsan</t>
  </si>
  <si>
    <t>Mørkved T</t>
  </si>
  <si>
    <t>Lås</t>
  </si>
  <si>
    <t>Vannbr</t>
  </si>
  <si>
    <t>Skuff</t>
  </si>
  <si>
    <t>ISO</t>
  </si>
  <si>
    <t>EKSTERNE HONORARER / KONSERN</t>
  </si>
  <si>
    <t>Tommy Willumsen</t>
  </si>
  <si>
    <t>Egidius Tumynas</t>
  </si>
  <si>
    <t>Christoffer Tønnesen Emilsen</t>
  </si>
  <si>
    <t>Eyas Mahmoud Salaman</t>
  </si>
  <si>
    <t>Innkjøpte tjenester (UE)</t>
  </si>
  <si>
    <t>Leasing YF14513 Ford Transit Connect</t>
  </si>
  <si>
    <t>SUM ANDRE KOSTNADER</t>
  </si>
  <si>
    <t>RESULTATBUDSJETT - 2019</t>
  </si>
  <si>
    <t>Fritx</t>
  </si>
  <si>
    <t>SUM</t>
  </si>
  <si>
    <t>DAG-OLAV GAARDER</t>
  </si>
  <si>
    <t>NN</t>
  </si>
  <si>
    <t>FREDRIK HAAGENSEN (20 %)</t>
  </si>
  <si>
    <t>KOSTNADER LOKALER (30%)</t>
  </si>
  <si>
    <t>DANIEL FREJUS</t>
  </si>
  <si>
    <t>OLE BERG</t>
  </si>
  <si>
    <t>PAWEL LISIAK</t>
  </si>
  <si>
    <t>ØBRL</t>
  </si>
  <si>
    <t>Trond/Gerd</t>
  </si>
  <si>
    <r>
      <t xml:space="preserve">Sum </t>
    </r>
    <r>
      <rPr>
        <sz val="8"/>
        <rFont val="Arial"/>
        <family val="2"/>
      </rPr>
      <t>lønnskostnader</t>
    </r>
  </si>
  <si>
    <t>Leasing Stillaspakke 2</t>
  </si>
  <si>
    <t>Christoffer Kamfjord Larsen</t>
  </si>
  <si>
    <t>Johnny Bruun</t>
  </si>
  <si>
    <t>Kidane</t>
  </si>
  <si>
    <t>Masod</t>
  </si>
  <si>
    <t>Reza</t>
  </si>
  <si>
    <t>Viktor Jamtli</t>
  </si>
  <si>
    <t>Andreas Jönsson</t>
  </si>
  <si>
    <t>ROGER VILHELMSEN</t>
  </si>
  <si>
    <t>MORTEN SANDVIK</t>
  </si>
  <si>
    <t>Bygg</t>
  </si>
  <si>
    <t>FRITZØE, HANS PETTER</t>
  </si>
  <si>
    <t>FREDRIK HAAGENSEN</t>
  </si>
  <si>
    <t>ALEKSANDER VEINAN</t>
  </si>
  <si>
    <t>ANDREAS HILMARSEN</t>
  </si>
  <si>
    <t>ASTRID WENSETH KURE</t>
  </si>
  <si>
    <t>ARSIM HOTI</t>
  </si>
  <si>
    <t>DAG OLAV GÅRDER</t>
  </si>
  <si>
    <t>FREDRIK KARLSEN</t>
  </si>
  <si>
    <t>HANS OLAV AAKRE</t>
  </si>
  <si>
    <t>HUSAM ALTINAWI</t>
  </si>
  <si>
    <t>JOAKIM STORSTEIN SKAGEN</t>
  </si>
  <si>
    <t>KAMIL ZUWALA</t>
  </si>
  <si>
    <t>MARTIN HÅVARDSEN</t>
  </si>
  <si>
    <t>RASHID ALISSA</t>
  </si>
  <si>
    <t>ROY ATLE HANSEN</t>
  </si>
  <si>
    <t>THOMAS HÅVARDSEN</t>
  </si>
  <si>
    <t>TOMASZ KUDZIA</t>
  </si>
  <si>
    <t>TORE BORGEN</t>
  </si>
  <si>
    <t>GLENN-JØRGEN</t>
  </si>
  <si>
    <t>AHMAD/GIATH</t>
  </si>
  <si>
    <t>AHMAD/GIATH ANSETTELSE</t>
  </si>
  <si>
    <t xml:space="preserve">Inntekter materiell </t>
  </si>
  <si>
    <t>RESULTATBUDSJETT - 2020</t>
  </si>
  <si>
    <t>Leasing Hardangerstillas</t>
  </si>
  <si>
    <t>Leasing Hilti veggsag m utstyr</t>
  </si>
  <si>
    <t>Leie lokaler - Fauske</t>
  </si>
  <si>
    <t xml:space="preserve">Leasing YF15076 Ford Transit </t>
  </si>
  <si>
    <t>Leasing YF15429 Ford Transit</t>
  </si>
  <si>
    <t>Brakke Byggesystemer</t>
  </si>
  <si>
    <t>Forsikring transportmidler - UTGÅR</t>
  </si>
  <si>
    <t>Utemaler ØBRL</t>
  </si>
  <si>
    <t>Bedriftshelsetjeneste</t>
  </si>
  <si>
    <t>Kurskostnad</t>
  </si>
  <si>
    <t>Fri bil</t>
  </si>
  <si>
    <t>Lærlingetilskudd</t>
  </si>
  <si>
    <t>Leasing NY BIL</t>
  </si>
  <si>
    <t>Leie lokaler (bolig)</t>
  </si>
  <si>
    <t>Leie lager</t>
  </si>
  <si>
    <t>Leasing DP65715 - Ford Transit (betong)</t>
  </si>
  <si>
    <t>Kostnader Neso</t>
  </si>
  <si>
    <t>Servicekostnader (S.Hus/Neso)</t>
  </si>
  <si>
    <t>Renteinntekter kunder</t>
  </si>
  <si>
    <t>Inntekter viderefakturering lokaler</t>
  </si>
  <si>
    <t>Fakturering regnskapstjenester</t>
  </si>
  <si>
    <t>Fakturering renhold</t>
  </si>
  <si>
    <t>Faktuering IT-kostnader</t>
  </si>
  <si>
    <t>Fakturering strøm</t>
  </si>
  <si>
    <t>Fakturering kantinekostnader</t>
  </si>
  <si>
    <t>Fakturering rgnskapstjenester</t>
  </si>
  <si>
    <t>Fakturering finans (Fritzøe)</t>
  </si>
  <si>
    <t>Avskrivninger</t>
  </si>
  <si>
    <t>Ekstra</t>
  </si>
  <si>
    <t>KLEIVA</t>
  </si>
  <si>
    <t>SNORRES</t>
  </si>
  <si>
    <t>STORVOLL</t>
  </si>
  <si>
    <t>Forsvarsbygg</t>
  </si>
  <si>
    <t>SJØÅSAN</t>
  </si>
  <si>
    <t>Hytte Valnes</t>
  </si>
  <si>
    <t>Div Service/betong</t>
  </si>
  <si>
    <t>NOV-DES</t>
  </si>
  <si>
    <t>Innkjøpte tjenester - FB</t>
  </si>
  <si>
    <t>Legges over 7%</t>
  </si>
  <si>
    <t>Må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</si>
</sst>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\ %"/>
    <numFmt numFmtId="166" formatCode="0.0"/>
    <numFmt numFmtId="167" formatCode="_(* #,##0_);_(* \(#,##0\);_(* &quot;-&quot;??_);_(@_)"/>
    <numFmt numFmtId="168" formatCode="#,##0.0000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sz val="5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sz val="7"/>
      <name val="Arial"/>
      <family val="2"/>
    </font>
    <font>
      <sz val="10"/>
      <color theme="0"/>
      <name val="Arial"/>
      <family val="2"/>
    </font>
    <font>
      <b/>
      <sz val="8"/>
      <color theme="0" tint="-0.249977111117893"/>
      <name val="Arial"/>
      <family val="2"/>
    </font>
    <font>
      <sz val="8"/>
      <color theme="0"/>
      <name val="Arial"/>
      <family val="2"/>
    </font>
    <font>
      <b/>
      <sz val="7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left"/>
    </xf>
    <xf numFmtId="4" fontId="3" fillId="0" borderId="0" xfId="0" applyNumberFormat="1" applyFont="1" applyAlignment="1">
      <alignment horizontal="center"/>
    </xf>
    <xf numFmtId="0" fontId="4" fillId="0" borderId="0" xfId="0" applyFont="1"/>
    <xf numFmtId="2" fontId="2" fillId="0" borderId="0" xfId="0" applyNumberFormat="1" applyFont="1"/>
    <xf numFmtId="165" fontId="6" fillId="0" borderId="0" xfId="0" applyNumberFormat="1" applyFont="1" applyAlignment="1">
      <alignment horizontal="center"/>
    </xf>
    <xf numFmtId="3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3" fontId="0" fillId="0" borderId="0" xfId="0" applyNumberFormat="1"/>
    <xf numFmtId="0" fontId="9" fillId="0" borderId="0" xfId="0" applyFont="1"/>
    <xf numFmtId="0" fontId="16" fillId="2" borderId="0" xfId="0" applyFont="1" applyFill="1"/>
    <xf numFmtId="165" fontId="10" fillId="0" borderId="0" xfId="0" applyNumberFormat="1" applyFont="1" applyAlignment="1">
      <alignment horizontal="center"/>
    </xf>
    <xf numFmtId="3" fontId="10" fillId="0" borderId="0" xfId="0" applyNumberFormat="1" applyFont="1"/>
    <xf numFmtId="3" fontId="5" fillId="0" borderId="0" xfId="0" applyNumberFormat="1" applyFont="1"/>
    <xf numFmtId="3" fontId="5" fillId="0" borderId="1" xfId="0" applyNumberFormat="1" applyFont="1" applyBorder="1"/>
    <xf numFmtId="165" fontId="5" fillId="0" borderId="0" xfId="0" applyNumberFormat="1" applyFont="1" applyAlignment="1">
      <alignment horizontal="center"/>
    </xf>
    <xf numFmtId="3" fontId="5" fillId="3" borderId="2" xfId="0" applyNumberFormat="1" applyFont="1" applyFill="1" applyBorder="1"/>
    <xf numFmtId="0" fontId="5" fillId="0" borderId="1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3" borderId="2" xfId="0" applyFont="1" applyFill="1" applyBorder="1"/>
    <xf numFmtId="165" fontId="10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1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3" borderId="2" xfId="0" applyFont="1" applyFill="1" applyBorder="1" applyAlignment="1">
      <alignment horizontal="left"/>
    </xf>
    <xf numFmtId="3" fontId="5" fillId="0" borderId="0" xfId="0" applyNumberFormat="1" applyFont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0" applyNumberFormat="1" applyFont="1"/>
    <xf numFmtId="0" fontId="0" fillId="0" borderId="0" xfId="0" applyAlignment="1">
      <alignment horizontal="center"/>
    </xf>
    <xf numFmtId="1" fontId="10" fillId="0" borderId="0" xfId="0" applyNumberFormat="1" applyFont="1" applyAlignment="1">
      <alignment horizontal="center"/>
    </xf>
    <xf numFmtId="165" fontId="5" fillId="3" borderId="2" xfId="2" applyNumberFormat="1" applyFont="1" applyFill="1" applyBorder="1"/>
    <xf numFmtId="165" fontId="10" fillId="0" borderId="0" xfId="2" applyNumberFormat="1" applyFont="1" applyAlignment="1">
      <alignment horizontal="center"/>
    </xf>
    <xf numFmtId="0" fontId="11" fillId="4" borderId="3" xfId="0" applyFont="1" applyFill="1" applyBorder="1" applyAlignment="1">
      <alignment horizontal="right"/>
    </xf>
    <xf numFmtId="0" fontId="11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center"/>
    </xf>
    <xf numFmtId="0" fontId="7" fillId="0" borderId="0" xfId="0" applyFont="1"/>
    <xf numFmtId="4" fontId="2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3" fontId="7" fillId="0" borderId="0" xfId="0" applyNumberFormat="1" applyFont="1"/>
    <xf numFmtId="9" fontId="10" fillId="0" borderId="0" xfId="2" applyFont="1"/>
    <xf numFmtId="0" fontId="12" fillId="0" borderId="0" xfId="0" applyFont="1" applyAlignment="1">
      <alignment horizontal="center"/>
    </xf>
    <xf numFmtId="9" fontId="12" fillId="0" borderId="0" xfId="2" applyFont="1" applyAlignment="1">
      <alignment horizontal="center"/>
    </xf>
    <xf numFmtId="165" fontId="12" fillId="0" borderId="0" xfId="2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3" fillId="0" borderId="0" xfId="2" applyFont="1"/>
    <xf numFmtId="165" fontId="7" fillId="0" borderId="1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3" fontId="15" fillId="0" borderId="0" xfId="0" applyNumberFormat="1" applyFont="1"/>
    <xf numFmtId="167" fontId="5" fillId="0" borderId="0" xfId="1" applyNumberFormat="1" applyFont="1"/>
    <xf numFmtId="167" fontId="5" fillId="0" borderId="0" xfId="1" applyNumberFormat="1" applyFont="1" applyBorder="1"/>
    <xf numFmtId="167" fontId="10" fillId="0" borderId="0" xfId="1" applyNumberFormat="1" applyFont="1"/>
    <xf numFmtId="0" fontId="15" fillId="0" borderId="0" xfId="0" applyFont="1"/>
    <xf numFmtId="165" fontId="13" fillId="0" borderId="0" xfId="2" applyNumberFormat="1" applyFont="1" applyAlignment="1">
      <alignment horizontal="right"/>
    </xf>
    <xf numFmtId="165" fontId="0" fillId="0" borderId="0" xfId="2" applyNumberFormat="1" applyFont="1"/>
    <xf numFmtId="9" fontId="0" fillId="0" borderId="0" xfId="0" applyNumberFormat="1" applyAlignment="1">
      <alignment horizontal="center"/>
    </xf>
    <xf numFmtId="0" fontId="14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167" fontId="5" fillId="0" borderId="1" xfId="1" applyNumberFormat="1" applyFont="1" applyBorder="1"/>
    <xf numFmtId="165" fontId="17" fillId="0" borderId="0" xfId="0" applyNumberFormat="1" applyFont="1" applyAlignment="1">
      <alignment horizontal="center"/>
    </xf>
    <xf numFmtId="165" fontId="10" fillId="0" borderId="0" xfId="2" applyNumberFormat="1" applyFont="1"/>
    <xf numFmtId="1" fontId="10" fillId="0" borderId="0" xfId="0" applyNumberFormat="1" applyFont="1"/>
    <xf numFmtId="1" fontId="7" fillId="0" borderId="0" xfId="0" applyNumberFormat="1" applyFont="1" applyAlignment="1">
      <alignment horizontal="center"/>
    </xf>
    <xf numFmtId="165" fontId="7" fillId="0" borderId="0" xfId="2" applyNumberFormat="1" applyFont="1" applyAlignment="1">
      <alignment horizontal="center"/>
    </xf>
    <xf numFmtId="165" fontId="7" fillId="0" borderId="0" xfId="2" applyNumberFormat="1" applyFont="1"/>
    <xf numFmtId="0" fontId="3" fillId="0" borderId="0" xfId="0" applyFont="1" applyAlignment="1">
      <alignment horizontal="left"/>
    </xf>
    <xf numFmtId="165" fontId="15" fillId="0" borderId="0" xfId="0" applyNumberFormat="1" applyFont="1"/>
    <xf numFmtId="165" fontId="13" fillId="0" borderId="0" xfId="0" applyNumberFormat="1" applyFont="1"/>
    <xf numFmtId="9" fontId="12" fillId="0" borderId="0" xfId="2" applyFont="1" applyBorder="1" applyAlignment="1">
      <alignment horizontal="center"/>
    </xf>
    <xf numFmtId="4" fontId="12" fillId="0" borderId="0" xfId="0" applyNumberFormat="1" applyFont="1" applyAlignment="1">
      <alignment horizontal="center"/>
    </xf>
    <xf numFmtId="9" fontId="5" fillId="0" borderId="0" xfId="2" applyFont="1" applyFill="1" applyBorder="1"/>
    <xf numFmtId="165" fontId="0" fillId="0" borderId="1" xfId="2" applyNumberFormat="1" applyFont="1" applyBorder="1"/>
    <xf numFmtId="4" fontId="18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" fontId="7" fillId="0" borderId="0" xfId="2" applyNumberFormat="1" applyFont="1" applyAlignment="1">
      <alignment horizontal="center"/>
    </xf>
    <xf numFmtId="9" fontId="2" fillId="0" borderId="0" xfId="0" applyNumberFormat="1" applyFont="1"/>
    <xf numFmtId="9" fontId="0" fillId="0" borderId="0" xfId="0" applyNumberFormat="1"/>
    <xf numFmtId="9" fontId="0" fillId="0" borderId="0" xfId="2" applyFont="1"/>
    <xf numFmtId="167" fontId="0" fillId="0" borderId="0" xfId="1" applyNumberFormat="1" applyFont="1"/>
    <xf numFmtId="165" fontId="7" fillId="5" borderId="0" xfId="2" applyNumberFormat="1" applyFont="1" applyFill="1" applyAlignment="1">
      <alignment horizontal="center"/>
    </xf>
    <xf numFmtId="9" fontId="10" fillId="0" borderId="0" xfId="2" applyFont="1" applyAlignment="1">
      <alignment horizontal="center"/>
    </xf>
    <xf numFmtId="3" fontId="10" fillId="5" borderId="0" xfId="0" applyNumberFormat="1" applyFont="1" applyFill="1"/>
    <xf numFmtId="0" fontId="7" fillId="6" borderId="0" xfId="0" applyFont="1" applyFill="1"/>
    <xf numFmtId="0" fontId="10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3" fontId="10" fillId="6" borderId="0" xfId="0" applyNumberFormat="1" applyFont="1" applyFill="1"/>
    <xf numFmtId="0" fontId="0" fillId="6" borderId="0" xfId="0" applyFill="1"/>
    <xf numFmtId="3" fontId="7" fillId="6" borderId="0" xfId="0" applyNumberFormat="1" applyFont="1" applyFill="1"/>
    <xf numFmtId="0" fontId="0" fillId="6" borderId="0" xfId="0" applyFill="1" applyAlignment="1">
      <alignment horizontal="center"/>
    </xf>
    <xf numFmtId="165" fontId="7" fillId="6" borderId="0" xfId="2" applyNumberFormat="1" applyFont="1" applyFill="1" applyAlignment="1">
      <alignment horizontal="center"/>
    </xf>
    <xf numFmtId="10" fontId="10" fillId="6" borderId="0" xfId="0" applyNumberFormat="1" applyFont="1" applyFill="1" applyAlignment="1">
      <alignment horizontal="center"/>
    </xf>
    <xf numFmtId="9" fontId="10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9" fontId="1" fillId="0" borderId="0" xfId="2" applyFont="1"/>
    <xf numFmtId="9" fontId="7" fillId="0" borderId="0" xfId="2" applyFont="1" applyFill="1" applyBorder="1"/>
    <xf numFmtId="165" fontId="7" fillId="0" borderId="0" xfId="2" applyNumberFormat="1" applyFont="1" applyFill="1" applyBorder="1"/>
    <xf numFmtId="9" fontId="7" fillId="0" borderId="0" xfId="2" applyFont="1"/>
    <xf numFmtId="167" fontId="7" fillId="0" borderId="0" xfId="1" applyNumberFormat="1" applyFont="1" applyAlignment="1">
      <alignment horizontal="center"/>
    </xf>
    <xf numFmtId="167" fontId="7" fillId="0" borderId="0" xfId="1" applyNumberFormat="1" applyFont="1"/>
    <xf numFmtId="167" fontId="7" fillId="6" borderId="0" xfId="0" applyNumberFormat="1" applyFont="1" applyFill="1"/>
    <xf numFmtId="167" fontId="7" fillId="6" borderId="0" xfId="1" applyNumberFormat="1" applyFont="1" applyFill="1" applyAlignment="1">
      <alignment horizontal="center"/>
    </xf>
    <xf numFmtId="0" fontId="5" fillId="6" borderId="0" xfId="0" applyFont="1" applyFill="1" applyAlignment="1">
      <alignment horizontal="left"/>
    </xf>
    <xf numFmtId="9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165" fontId="5" fillId="0" borderId="0" xfId="2" applyNumberFormat="1" applyFont="1" applyFill="1" applyBorder="1"/>
    <xf numFmtId="3" fontId="19" fillId="0" borderId="0" xfId="0" applyNumberFormat="1" applyFont="1"/>
    <xf numFmtId="0" fontId="7" fillId="7" borderId="0" xfId="0" applyFont="1" applyFill="1"/>
    <xf numFmtId="10" fontId="7" fillId="0" borderId="0" xfId="2" applyNumberFormat="1" applyFont="1"/>
    <xf numFmtId="10" fontId="7" fillId="0" borderId="0" xfId="2" applyNumberFormat="1" applyFont="1" applyFill="1"/>
    <xf numFmtId="10" fontId="7" fillId="0" borderId="0" xfId="2" applyNumberFormat="1" applyFont="1" applyBorder="1"/>
    <xf numFmtId="10" fontId="7" fillId="0" borderId="0" xfId="2" applyNumberFormat="1" applyFont="1" applyFill="1" applyBorder="1"/>
    <xf numFmtId="168" fontId="5" fillId="0" borderId="0" xfId="0" applyNumberFormat="1" applyFont="1"/>
    <xf numFmtId="167" fontId="1" fillId="0" borderId="0" xfId="1" applyNumberFormat="1" applyFont="1"/>
    <xf numFmtId="165" fontId="0" fillId="0" borderId="0" xfId="0" applyNumberFormat="1"/>
    <xf numFmtId="167" fontId="0" fillId="0" borderId="0" xfId="0" applyNumberFormat="1"/>
    <xf numFmtId="3" fontId="3" fillId="0" borderId="0" xfId="0" applyNumberFormat="1" applyFont="1"/>
    <xf numFmtId="3" fontId="6" fillId="0" borderId="0" xfId="0" applyNumberFormat="1" applyFont="1"/>
    <xf numFmtId="9" fontId="10" fillId="0" borderId="0" xfId="0" applyNumberFormat="1" applyFont="1"/>
    <xf numFmtId="168" fontId="10" fillId="0" borderId="0" xfId="0" applyNumberFormat="1" applyFont="1"/>
    <xf numFmtId="165" fontId="10" fillId="0" borderId="0" xfId="0" applyNumberFormat="1" applyFont="1"/>
    <xf numFmtId="9" fontId="12" fillId="0" borderId="0" xfId="0" applyNumberFormat="1" applyFont="1" applyAlignment="1">
      <alignment horizontal="center"/>
    </xf>
    <xf numFmtId="164" fontId="0" fillId="0" borderId="0" xfId="1" applyFont="1"/>
    <xf numFmtId="164" fontId="2" fillId="0" borderId="0" xfId="1" applyFont="1"/>
    <xf numFmtId="4" fontId="0" fillId="0" borderId="0" xfId="0" applyNumberFormat="1"/>
    <xf numFmtId="0" fontId="2" fillId="0" borderId="3" xfId="0" applyFont="1" applyBorder="1"/>
    <xf numFmtId="0" fontId="1" fillId="0" borderId="3" xfId="0" applyFont="1" applyBorder="1"/>
    <xf numFmtId="167" fontId="0" fillId="0" borderId="3" xfId="1" applyNumberFormat="1" applyFont="1" applyBorder="1"/>
    <xf numFmtId="0" fontId="0" fillId="0" borderId="3" xfId="0" applyBorder="1"/>
    <xf numFmtId="167" fontId="1" fillId="0" borderId="3" xfId="1" applyNumberFormat="1" applyFont="1" applyBorder="1"/>
    <xf numFmtId="167" fontId="0" fillId="0" borderId="0" xfId="1" applyNumberFormat="1" applyFont="1" applyBorder="1"/>
    <xf numFmtId="0" fontId="1" fillId="0" borderId="4" xfId="0" applyFont="1" applyBorder="1"/>
    <xf numFmtId="10" fontId="7" fillId="5" borderId="1" xfId="2" applyNumberFormat="1" applyFont="1" applyFill="1" applyBorder="1"/>
    <xf numFmtId="0" fontId="1" fillId="0" borderId="1" xfId="0" applyFont="1" applyBorder="1"/>
    <xf numFmtId="167" fontId="2" fillId="6" borderId="3" xfId="1" applyNumberFormat="1" applyFont="1" applyFill="1" applyBorder="1"/>
    <xf numFmtId="167" fontId="2" fillId="6" borderId="0" xfId="1" applyNumberFormat="1" applyFont="1" applyFill="1"/>
    <xf numFmtId="167" fontId="0" fillId="6" borderId="3" xfId="1" applyNumberFormat="1" applyFont="1" applyFill="1" applyBorder="1"/>
  </cellXfs>
  <cellStyles count="3">
    <cellStyle name="Komma" xfId="1" builtinId="3"/>
    <cellStyle name="Normal" xfId="0" builtinId="0"/>
    <cellStyle name="Pros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6" xr16:uid="{00000000-0016-0000-0700-000002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1" xr16:uid="{00000000-0016-0000-0900-000004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3" xr16:uid="{00000000-0016-0000-0500-000001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5" xr16:uid="{00000000-0016-0000-0B00-000006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2" xr16:uid="{00000000-0016-0000-0300-000000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DOBALANSE 1_10_2008_ALLEKTO" connectionId="4" xr16:uid="{00000000-0016-0000-0A00-000005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V116"/>
  <sheetViews>
    <sheetView zoomScale="115" zoomScaleNormal="115" workbookViewId="0">
      <selection activeCell="A17" sqref="A17"/>
    </sheetView>
  </sheetViews>
  <sheetFormatPr baseColWidth="10" defaultRowHeight="14.4" customHeight="1" outlineLevelRow="1" x14ac:dyDescent="0.3"/>
  <cols>
    <col min="1" max="1" width="4.84375" style="1" customWidth="1"/>
    <col min="2" max="2" width="26.07421875" customWidth="1"/>
    <col min="3" max="3" width="7.4609375" style="2" bestFit="1" customWidth="1"/>
    <col min="4" max="6" width="7.69140625" customWidth="1"/>
    <col min="7" max="7" width="8.69140625" bestFit="1" customWidth="1"/>
    <col min="8" max="15" width="7.69140625" customWidth="1"/>
    <col min="16" max="16" width="9.3046875" style="3" customWidth="1"/>
  </cols>
  <sheetData>
    <row r="1" spans="1:256" ht="14.4" customHeight="1" x14ac:dyDescent="0.3">
      <c r="A1" s="8" t="s">
        <v>370</v>
      </c>
      <c r="B1" s="7"/>
      <c r="C1" s="44" t="s">
        <v>224</v>
      </c>
    </row>
    <row r="3" spans="1:256" ht="14.4" customHeight="1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4.4" customHeight="1" x14ac:dyDescent="0.3">
      <c r="A4" s="30" t="s">
        <v>4</v>
      </c>
      <c r="B4" s="4"/>
      <c r="C4" s="5"/>
    </row>
    <row r="5" spans="1:256" ht="14.4" customHeight="1" x14ac:dyDescent="0.3">
      <c r="A5" s="22">
        <v>3000</v>
      </c>
      <c r="B5" s="43" t="s">
        <v>390</v>
      </c>
      <c r="C5" s="14">
        <f t="shared" ref="C5:C11" si="0">P5/$P$14</f>
        <v>0.26600325422319043</v>
      </c>
      <c r="D5" s="15">
        <f>16931+29630+30553*1.014</f>
        <v>77541.741999999998</v>
      </c>
      <c r="E5" s="15">
        <f>D5</f>
        <v>77541.741999999998</v>
      </c>
      <c r="F5" s="15">
        <f t="shared" ref="F5:O6" si="1">E5</f>
        <v>77541.741999999998</v>
      </c>
      <c r="G5" s="15">
        <f t="shared" si="1"/>
        <v>77541.741999999998</v>
      </c>
      <c r="H5" s="15">
        <f t="shared" si="1"/>
        <v>77541.741999999998</v>
      </c>
      <c r="I5" s="15">
        <f t="shared" si="1"/>
        <v>77541.741999999998</v>
      </c>
      <c r="J5" s="15">
        <f t="shared" si="1"/>
        <v>77541.741999999998</v>
      </c>
      <c r="K5" s="15">
        <f t="shared" si="1"/>
        <v>77541.741999999998</v>
      </c>
      <c r="L5" s="15">
        <f t="shared" si="1"/>
        <v>77541.741999999998</v>
      </c>
      <c r="M5" s="15">
        <f t="shared" si="1"/>
        <v>77541.741999999998</v>
      </c>
      <c r="N5" s="15">
        <f t="shared" si="1"/>
        <v>77541.741999999998</v>
      </c>
      <c r="O5" s="15">
        <f t="shared" si="1"/>
        <v>77541.741999999998</v>
      </c>
      <c r="P5" s="15">
        <f>SUM(D5:O5)</f>
        <v>930500.90399999975</v>
      </c>
    </row>
    <row r="6" spans="1:256" ht="14.4" customHeight="1" x14ac:dyDescent="0.3">
      <c r="A6" s="22">
        <v>3001</v>
      </c>
      <c r="B6" s="43" t="s">
        <v>391</v>
      </c>
      <c r="C6" s="14">
        <f t="shared" si="0"/>
        <v>0.1372180956281279</v>
      </c>
      <c r="D6" s="15">
        <v>40000</v>
      </c>
      <c r="E6" s="15">
        <f>D6</f>
        <v>40000</v>
      </c>
      <c r="F6" s="15">
        <f t="shared" si="1"/>
        <v>40000</v>
      </c>
      <c r="G6" s="15">
        <f t="shared" si="1"/>
        <v>40000</v>
      </c>
      <c r="H6" s="15">
        <f t="shared" si="1"/>
        <v>40000</v>
      </c>
      <c r="I6" s="15">
        <f t="shared" si="1"/>
        <v>40000</v>
      </c>
      <c r="J6" s="15">
        <f t="shared" si="1"/>
        <v>40000</v>
      </c>
      <c r="K6" s="15">
        <f t="shared" si="1"/>
        <v>40000</v>
      </c>
      <c r="L6" s="15">
        <f t="shared" si="1"/>
        <v>40000</v>
      </c>
      <c r="M6" s="15">
        <f t="shared" si="1"/>
        <v>40000</v>
      </c>
      <c r="N6" s="15">
        <f t="shared" si="1"/>
        <v>40000</v>
      </c>
      <c r="O6" s="15">
        <f t="shared" si="1"/>
        <v>40000</v>
      </c>
      <c r="P6" s="15">
        <f>SUM(D6:O6)</f>
        <v>480000</v>
      </c>
    </row>
    <row r="7" spans="1:256" ht="14.4" customHeight="1" x14ac:dyDescent="0.3">
      <c r="A7" s="22">
        <v>3002</v>
      </c>
      <c r="B7" s="43" t="s">
        <v>392</v>
      </c>
      <c r="C7" s="14">
        <f t="shared" si="0"/>
        <v>1.4459356826813976E-2</v>
      </c>
      <c r="D7" s="15">
        <f>1365+1500+1350</f>
        <v>4215</v>
      </c>
      <c r="E7" s="15">
        <f t="shared" ref="E7:E11" si="2">D7</f>
        <v>4215</v>
      </c>
      <c r="F7" s="15">
        <f t="shared" ref="F7:F9" si="3">E7</f>
        <v>4215</v>
      </c>
      <c r="G7" s="15">
        <f t="shared" ref="G7:G9" si="4">F7</f>
        <v>4215</v>
      </c>
      <c r="H7" s="15">
        <f t="shared" ref="H7:H9" si="5">G7</f>
        <v>4215</v>
      </c>
      <c r="I7" s="15">
        <f t="shared" ref="I7:I9" si="6">H7</f>
        <v>4215</v>
      </c>
      <c r="J7" s="15">
        <f t="shared" ref="J7:J9" si="7">I7</f>
        <v>4215</v>
      </c>
      <c r="K7" s="15">
        <f t="shared" ref="K7:K9" si="8">J7</f>
        <v>4215</v>
      </c>
      <c r="L7" s="15">
        <f t="shared" ref="L7:L9" si="9">K7</f>
        <v>4215</v>
      </c>
      <c r="M7" s="15">
        <f t="shared" ref="M7:M9" si="10">L7</f>
        <v>4215</v>
      </c>
      <c r="N7" s="15">
        <f t="shared" ref="N7:N9" si="11">M7</f>
        <v>4215</v>
      </c>
      <c r="O7" s="15">
        <f t="shared" ref="O7:O9" si="12">N7</f>
        <v>4215</v>
      </c>
      <c r="P7" s="15">
        <f t="shared" ref="P7:P9" si="13">SUM(D7:O7)</f>
        <v>50580</v>
      </c>
    </row>
    <row r="8" spans="1:256" ht="14.4" customHeight="1" x14ac:dyDescent="0.3">
      <c r="A8" s="22">
        <v>3003</v>
      </c>
      <c r="B8" s="43" t="s">
        <v>393</v>
      </c>
      <c r="C8" s="14">
        <f t="shared" si="0"/>
        <v>1.4922467899558908E-2</v>
      </c>
      <c r="D8" s="15">
        <f>450+900+1500+1500</f>
        <v>4350</v>
      </c>
      <c r="E8" s="15">
        <f t="shared" si="2"/>
        <v>4350</v>
      </c>
      <c r="F8" s="15">
        <f t="shared" si="3"/>
        <v>4350</v>
      </c>
      <c r="G8" s="15">
        <f t="shared" si="4"/>
        <v>4350</v>
      </c>
      <c r="H8" s="15">
        <f t="shared" si="5"/>
        <v>4350</v>
      </c>
      <c r="I8" s="15">
        <f t="shared" si="6"/>
        <v>4350</v>
      </c>
      <c r="J8" s="15">
        <f t="shared" si="7"/>
        <v>4350</v>
      </c>
      <c r="K8" s="15">
        <f t="shared" si="8"/>
        <v>4350</v>
      </c>
      <c r="L8" s="15">
        <f t="shared" si="9"/>
        <v>4350</v>
      </c>
      <c r="M8" s="15">
        <f t="shared" si="10"/>
        <v>4350</v>
      </c>
      <c r="N8" s="15">
        <f t="shared" si="11"/>
        <v>4350</v>
      </c>
      <c r="O8" s="15">
        <f t="shared" si="12"/>
        <v>4350</v>
      </c>
      <c r="P8" s="15">
        <f t="shared" si="13"/>
        <v>52200</v>
      </c>
    </row>
    <row r="9" spans="1:256" ht="14.4" customHeight="1" x14ac:dyDescent="0.3">
      <c r="A9" s="22">
        <v>3004</v>
      </c>
      <c r="B9" s="43" t="s">
        <v>394</v>
      </c>
      <c r="C9" s="14">
        <f t="shared" si="0"/>
        <v>1.9210533387937906E-2</v>
      </c>
      <c r="D9" s="15">
        <f>1800+1800+2000</f>
        <v>5600</v>
      </c>
      <c r="E9" s="15">
        <f t="shared" si="2"/>
        <v>5600</v>
      </c>
      <c r="F9" s="15">
        <f t="shared" si="3"/>
        <v>5600</v>
      </c>
      <c r="G9" s="15">
        <f t="shared" si="4"/>
        <v>5600</v>
      </c>
      <c r="H9" s="15">
        <f t="shared" si="5"/>
        <v>5600</v>
      </c>
      <c r="I9" s="15">
        <f t="shared" si="6"/>
        <v>5600</v>
      </c>
      <c r="J9" s="15">
        <f t="shared" si="7"/>
        <v>5600</v>
      </c>
      <c r="K9" s="15">
        <f t="shared" si="8"/>
        <v>5600</v>
      </c>
      <c r="L9" s="15">
        <f t="shared" si="9"/>
        <v>5600</v>
      </c>
      <c r="M9" s="15">
        <f t="shared" si="10"/>
        <v>5600</v>
      </c>
      <c r="N9" s="15">
        <f t="shared" si="11"/>
        <v>5600</v>
      </c>
      <c r="O9" s="15">
        <f t="shared" si="12"/>
        <v>5600</v>
      </c>
      <c r="P9" s="15">
        <f t="shared" si="13"/>
        <v>67200</v>
      </c>
    </row>
    <row r="10" spans="1:256" ht="14.4" customHeight="1" x14ac:dyDescent="0.3">
      <c r="A10" s="22">
        <v>3005</v>
      </c>
      <c r="B10" s="43" t="s">
        <v>395</v>
      </c>
      <c r="C10" s="14">
        <f t="shared" si="0"/>
        <v>8.2330857376876725E-3</v>
      </c>
      <c r="D10" s="15">
        <f>6*400</f>
        <v>2400</v>
      </c>
      <c r="E10" s="15">
        <f t="shared" si="2"/>
        <v>2400</v>
      </c>
      <c r="F10" s="15">
        <f t="shared" ref="F10" si="14">E10</f>
        <v>2400</v>
      </c>
      <c r="G10" s="15">
        <f t="shared" ref="G10" si="15">F10</f>
        <v>2400</v>
      </c>
      <c r="H10" s="15">
        <f t="shared" ref="H10" si="16">G10</f>
        <v>2400</v>
      </c>
      <c r="I10" s="15">
        <f t="shared" ref="I10" si="17">H10</f>
        <v>2400</v>
      </c>
      <c r="J10" s="15">
        <f t="shared" ref="J10" si="18">I10</f>
        <v>2400</v>
      </c>
      <c r="K10" s="15">
        <f t="shared" ref="K10" si="19">J10</f>
        <v>2400</v>
      </c>
      <c r="L10" s="15">
        <f t="shared" ref="L10" si="20">K10</f>
        <v>2400</v>
      </c>
      <c r="M10" s="15">
        <f t="shared" ref="M10" si="21">L10</f>
        <v>2400</v>
      </c>
      <c r="N10" s="15">
        <f t="shared" ref="N10" si="22">M10</f>
        <v>2400</v>
      </c>
      <c r="O10" s="15">
        <f t="shared" ref="O10" si="23">N10</f>
        <v>2400</v>
      </c>
      <c r="P10" s="15">
        <f t="shared" ref="P10" si="24">SUM(D10:O10)</f>
        <v>28800</v>
      </c>
    </row>
    <row r="11" spans="1:256" ht="14.4" customHeight="1" x14ac:dyDescent="0.3">
      <c r="A11" s="22">
        <v>3006</v>
      </c>
      <c r="B11" s="43" t="s">
        <v>397</v>
      </c>
      <c r="C11" s="14">
        <f t="shared" si="0"/>
        <v>5.1456785860547957E-2</v>
      </c>
      <c r="D11" s="15">
        <v>15000</v>
      </c>
      <c r="E11" s="15">
        <f t="shared" si="2"/>
        <v>15000</v>
      </c>
      <c r="F11" s="15">
        <f t="shared" ref="F11" si="25">E11</f>
        <v>15000</v>
      </c>
      <c r="G11" s="15">
        <f t="shared" ref="G11" si="26">F11</f>
        <v>15000</v>
      </c>
      <c r="H11" s="15">
        <f t="shared" ref="H11" si="27">G11</f>
        <v>15000</v>
      </c>
      <c r="I11" s="15">
        <f t="shared" ref="I11" si="28">H11</f>
        <v>15000</v>
      </c>
      <c r="J11" s="15">
        <f t="shared" ref="J11" si="29">I11</f>
        <v>15000</v>
      </c>
      <c r="K11" s="15">
        <f t="shared" ref="K11" si="30">J11</f>
        <v>15000</v>
      </c>
      <c r="L11" s="15">
        <f t="shared" ref="L11" si="31">K11</f>
        <v>15000</v>
      </c>
      <c r="M11" s="15">
        <f t="shared" ref="M11" si="32">L11</f>
        <v>15000</v>
      </c>
      <c r="N11" s="15">
        <f t="shared" ref="N11" si="33">M11</f>
        <v>15000</v>
      </c>
      <c r="O11" s="15">
        <f t="shared" ref="O11" si="34">N11</f>
        <v>15000</v>
      </c>
      <c r="P11" s="15">
        <f t="shared" ref="P11" si="35">SUM(D11:O11)</f>
        <v>180000</v>
      </c>
    </row>
    <row r="12" spans="1:256" ht="14.4" customHeight="1" x14ac:dyDescent="0.3">
      <c r="A12" s="22">
        <v>3020</v>
      </c>
      <c r="B12" s="43" t="s">
        <v>229</v>
      </c>
      <c r="C12" s="14">
        <f>P12/$P$14</f>
        <v>0.41851519166579004</v>
      </c>
      <c r="D12" s="15">
        <v>122000</v>
      </c>
      <c r="E12" s="15">
        <f t="shared" ref="E12:O13" si="36">D12</f>
        <v>122000</v>
      </c>
      <c r="F12" s="15">
        <f t="shared" si="36"/>
        <v>122000</v>
      </c>
      <c r="G12" s="15">
        <f t="shared" si="36"/>
        <v>122000</v>
      </c>
      <c r="H12" s="15">
        <f t="shared" si="36"/>
        <v>122000</v>
      </c>
      <c r="I12" s="15">
        <f t="shared" si="36"/>
        <v>122000</v>
      </c>
      <c r="J12" s="15">
        <f t="shared" si="36"/>
        <v>122000</v>
      </c>
      <c r="K12" s="15">
        <f t="shared" si="36"/>
        <v>122000</v>
      </c>
      <c r="L12" s="15">
        <f t="shared" si="36"/>
        <v>122000</v>
      </c>
      <c r="M12" s="15">
        <f t="shared" si="36"/>
        <v>122000</v>
      </c>
      <c r="N12" s="15">
        <f t="shared" si="36"/>
        <v>122000</v>
      </c>
      <c r="O12" s="15">
        <f t="shared" si="36"/>
        <v>122000</v>
      </c>
      <c r="P12" s="15">
        <f>SUM(D12:O12)</f>
        <v>1464000</v>
      </c>
    </row>
    <row r="13" spans="1:256" ht="14.4" customHeight="1" x14ac:dyDescent="0.3">
      <c r="A13" s="22">
        <v>3030</v>
      </c>
      <c r="B13" s="43" t="s">
        <v>396</v>
      </c>
      <c r="C13" s="14">
        <f>P13/$P$14</f>
        <v>6.9981228770345225E-2</v>
      </c>
      <c r="D13" s="15">
        <f>30*680</f>
        <v>20400</v>
      </c>
      <c r="E13" s="15">
        <f>D13</f>
        <v>20400</v>
      </c>
      <c r="F13" s="15">
        <f t="shared" si="36"/>
        <v>20400</v>
      </c>
      <c r="G13" s="15">
        <f>F13</f>
        <v>20400</v>
      </c>
      <c r="H13" s="15">
        <f t="shared" si="36"/>
        <v>20400</v>
      </c>
      <c r="I13" s="15">
        <f t="shared" si="36"/>
        <v>20400</v>
      </c>
      <c r="J13" s="15">
        <f t="shared" ref="J13" si="37">I13</f>
        <v>20400</v>
      </c>
      <c r="K13" s="15">
        <f t="shared" ref="K13" si="38">J13</f>
        <v>20400</v>
      </c>
      <c r="L13" s="15">
        <f t="shared" ref="L13" si="39">K13</f>
        <v>20400</v>
      </c>
      <c r="M13" s="15">
        <f t="shared" ref="M13" si="40">L13</f>
        <v>20400</v>
      </c>
      <c r="N13" s="15">
        <f t="shared" ref="N13" si="41">M13</f>
        <v>20400</v>
      </c>
      <c r="O13" s="15">
        <f t="shared" ref="O13" si="42">N13</f>
        <v>20400</v>
      </c>
      <c r="P13" s="15">
        <f>SUM(D13:O13)</f>
        <v>244800</v>
      </c>
    </row>
    <row r="14" spans="1:256" s="21" customFormat="1" ht="14.4" customHeight="1" x14ac:dyDescent="0.25">
      <c r="B14" s="20" t="s">
        <v>36</v>
      </c>
      <c r="C14" s="53">
        <f>P14/$P$14</f>
        <v>1</v>
      </c>
      <c r="D14" s="17">
        <f>SUM(D5:D13)</f>
        <v>291506.74199999997</v>
      </c>
      <c r="E14" s="17">
        <f>SUM(E5:E13)</f>
        <v>291506.74199999997</v>
      </c>
      <c r="F14" s="17">
        <f t="shared" ref="F14:P14" si="43">SUM(F5:F13)</f>
        <v>291506.74199999997</v>
      </c>
      <c r="G14" s="17">
        <f t="shared" si="43"/>
        <v>291506.74199999997</v>
      </c>
      <c r="H14" s="17">
        <f t="shared" si="43"/>
        <v>291506.74199999997</v>
      </c>
      <c r="I14" s="17">
        <f t="shared" si="43"/>
        <v>291506.74199999997</v>
      </c>
      <c r="J14" s="17">
        <f t="shared" si="43"/>
        <v>291506.74199999997</v>
      </c>
      <c r="K14" s="17">
        <f t="shared" si="43"/>
        <v>291506.74199999997</v>
      </c>
      <c r="L14" s="17">
        <f t="shared" si="43"/>
        <v>291506.74199999997</v>
      </c>
      <c r="M14" s="17">
        <f t="shared" si="43"/>
        <v>291506.74199999997</v>
      </c>
      <c r="N14" s="17">
        <f t="shared" si="43"/>
        <v>291506.74199999997</v>
      </c>
      <c r="O14" s="17">
        <f t="shared" si="43"/>
        <v>291506.74199999997</v>
      </c>
      <c r="P14" s="17">
        <f t="shared" si="43"/>
        <v>3498080.9039999996</v>
      </c>
      <c r="IV14" s="15">
        <f>SUM(D14:IU14)</f>
        <v>6996161.8080000002</v>
      </c>
    </row>
    <row r="15" spans="1:256" s="21" customFormat="1" ht="14.4" customHeight="1" x14ac:dyDescent="0.25">
      <c r="B15" s="23"/>
      <c r="C15" s="1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IV15" s="15"/>
    </row>
    <row r="16" spans="1:256" ht="14.4" customHeight="1" x14ac:dyDescent="0.3">
      <c r="A16" s="23" t="s">
        <v>5</v>
      </c>
      <c r="B16" s="21"/>
      <c r="C16" s="14"/>
    </row>
    <row r="17" spans="1:20" s="7" customFormat="1" ht="14.4" customHeight="1" x14ac:dyDescent="0.3">
      <c r="A17" s="22">
        <v>4500</v>
      </c>
      <c r="B17" s="43" t="s">
        <v>231</v>
      </c>
      <c r="C17" s="14">
        <f t="shared" ref="C17:C23" si="44">P17/$P$14</f>
        <v>1.7464121261761723E-2</v>
      </c>
      <c r="D17" s="15">
        <f>D9/1.1</f>
        <v>5090.9090909090901</v>
      </c>
      <c r="E17" s="15">
        <f t="shared" ref="E17:E22" si="45">D17</f>
        <v>5090.9090909090901</v>
      </c>
      <c r="F17" s="15">
        <f t="shared" ref="F17:O20" si="46">E17</f>
        <v>5090.9090909090901</v>
      </c>
      <c r="G17" s="15">
        <f>F17</f>
        <v>5090.9090909090901</v>
      </c>
      <c r="H17" s="15">
        <f t="shared" si="46"/>
        <v>5090.9090909090901</v>
      </c>
      <c r="I17" s="15">
        <f>H17</f>
        <v>5090.9090909090901</v>
      </c>
      <c r="J17" s="15">
        <f t="shared" si="46"/>
        <v>5090.9090909090901</v>
      </c>
      <c r="K17" s="15">
        <f t="shared" si="46"/>
        <v>5090.9090909090901</v>
      </c>
      <c r="L17" s="15">
        <f>K17</f>
        <v>5090.9090909090901</v>
      </c>
      <c r="M17" s="15">
        <f t="shared" si="46"/>
        <v>5090.9090909090901</v>
      </c>
      <c r="N17" s="15">
        <f>M17</f>
        <v>5090.9090909090901</v>
      </c>
      <c r="O17" s="15">
        <f t="shared" si="46"/>
        <v>5090.9090909090901</v>
      </c>
      <c r="P17" s="15">
        <f t="shared" ref="P17:P22" si="47">SUM(D17:O17)</f>
        <v>61090.909090909066</v>
      </c>
      <c r="T17" s="87"/>
    </row>
    <row r="18" spans="1:20" s="7" customFormat="1" ht="14.4" customHeight="1" x14ac:dyDescent="0.3">
      <c r="A18" s="22">
        <v>4501</v>
      </c>
      <c r="B18" s="43" t="s">
        <v>227</v>
      </c>
      <c r="C18" s="14">
        <f t="shared" si="44"/>
        <v>0.24559294755522329</v>
      </c>
      <c r="D18" s="16">
        <v>71592</v>
      </c>
      <c r="E18" s="15">
        <f t="shared" si="45"/>
        <v>71592</v>
      </c>
      <c r="F18" s="15">
        <f>E18</f>
        <v>71592</v>
      </c>
      <c r="G18" s="15">
        <f t="shared" ref="G18:O18" si="48">F18</f>
        <v>71592</v>
      </c>
      <c r="H18" s="15">
        <f t="shared" si="48"/>
        <v>71592</v>
      </c>
      <c r="I18" s="15">
        <f t="shared" si="48"/>
        <v>71592</v>
      </c>
      <c r="J18" s="15">
        <f t="shared" si="48"/>
        <v>71592</v>
      </c>
      <c r="K18" s="15">
        <f t="shared" si="48"/>
        <v>71592</v>
      </c>
      <c r="L18" s="15">
        <f t="shared" si="48"/>
        <v>71592</v>
      </c>
      <c r="M18" s="15">
        <f t="shared" si="48"/>
        <v>71592</v>
      </c>
      <c r="N18" s="15">
        <f t="shared" si="48"/>
        <v>71592</v>
      </c>
      <c r="O18" s="15">
        <f t="shared" si="48"/>
        <v>71592</v>
      </c>
      <c r="P18" s="15">
        <f t="shared" si="47"/>
        <v>859104</v>
      </c>
      <c r="T18" s="87"/>
    </row>
    <row r="19" spans="1:20" s="7" customFormat="1" ht="14.4" customHeight="1" x14ac:dyDescent="0.3">
      <c r="A19" s="22">
        <v>4502</v>
      </c>
      <c r="B19" s="43" t="s">
        <v>230</v>
      </c>
      <c r="C19" s="14">
        <f t="shared" si="44"/>
        <v>1.2774318612500567E-2</v>
      </c>
      <c r="D19" s="16">
        <f>4.33*860</f>
        <v>3723.8</v>
      </c>
      <c r="E19" s="15">
        <f t="shared" si="45"/>
        <v>3723.8</v>
      </c>
      <c r="F19" s="15">
        <f t="shared" si="46"/>
        <v>3723.8</v>
      </c>
      <c r="G19" s="15">
        <f t="shared" si="46"/>
        <v>3723.8</v>
      </c>
      <c r="H19" s="15">
        <f t="shared" si="46"/>
        <v>3723.8</v>
      </c>
      <c r="I19" s="15">
        <f t="shared" si="46"/>
        <v>3723.8</v>
      </c>
      <c r="J19" s="15">
        <f t="shared" si="46"/>
        <v>3723.8</v>
      </c>
      <c r="K19" s="15">
        <f t="shared" si="46"/>
        <v>3723.8</v>
      </c>
      <c r="L19" s="15">
        <f t="shared" si="46"/>
        <v>3723.8</v>
      </c>
      <c r="M19" s="15">
        <f t="shared" si="46"/>
        <v>3723.8</v>
      </c>
      <c r="N19" s="15">
        <f t="shared" si="46"/>
        <v>3723.8</v>
      </c>
      <c r="O19" s="15">
        <f t="shared" si="46"/>
        <v>3723.8</v>
      </c>
      <c r="P19" s="15">
        <f t="shared" si="47"/>
        <v>44685.600000000006</v>
      </c>
      <c r="T19" s="87"/>
    </row>
    <row r="20" spans="1:20" s="7" customFormat="1" ht="14.4" customHeight="1" x14ac:dyDescent="0.3">
      <c r="A20" s="22">
        <v>4503</v>
      </c>
      <c r="B20" s="43" t="s">
        <v>225</v>
      </c>
      <c r="C20" s="14">
        <f t="shared" si="44"/>
        <v>1.3721809562812789E-2</v>
      </c>
      <c r="D20" s="15">
        <v>4000</v>
      </c>
      <c r="E20" s="15">
        <f t="shared" si="45"/>
        <v>4000</v>
      </c>
      <c r="F20" s="15">
        <f t="shared" si="46"/>
        <v>4000</v>
      </c>
      <c r="G20" s="15">
        <f t="shared" si="46"/>
        <v>4000</v>
      </c>
      <c r="H20" s="15">
        <f t="shared" si="46"/>
        <v>4000</v>
      </c>
      <c r="I20" s="15">
        <f t="shared" si="46"/>
        <v>4000</v>
      </c>
      <c r="J20" s="15">
        <f t="shared" si="46"/>
        <v>4000</v>
      </c>
      <c r="K20" s="15">
        <f t="shared" si="46"/>
        <v>4000</v>
      </c>
      <c r="L20" s="15">
        <f t="shared" si="46"/>
        <v>4000</v>
      </c>
      <c r="M20" s="15">
        <f t="shared" si="46"/>
        <v>4000</v>
      </c>
      <c r="N20" s="15">
        <f t="shared" si="46"/>
        <v>4000</v>
      </c>
      <c r="O20" s="15">
        <f t="shared" si="46"/>
        <v>4000</v>
      </c>
      <c r="P20" s="15">
        <f t="shared" si="47"/>
        <v>48000</v>
      </c>
    </row>
    <row r="21" spans="1:20" s="7" customFormat="1" ht="14.4" customHeight="1" x14ac:dyDescent="0.3">
      <c r="A21" s="22">
        <v>4504</v>
      </c>
      <c r="B21" s="43" t="s">
        <v>226</v>
      </c>
      <c r="C21" s="14">
        <f t="shared" si="44"/>
        <v>1.3721809562812789E-2</v>
      </c>
      <c r="D21" s="15">
        <f>4000</f>
        <v>4000</v>
      </c>
      <c r="E21" s="15">
        <f t="shared" ref="E21" si="49">D21</f>
        <v>4000</v>
      </c>
      <c r="F21" s="15">
        <f t="shared" ref="F21" si="50">E21</f>
        <v>4000</v>
      </c>
      <c r="G21" s="15">
        <f t="shared" ref="G21" si="51">F21</f>
        <v>4000</v>
      </c>
      <c r="H21" s="15">
        <f t="shared" ref="H21" si="52">G21</f>
        <v>4000</v>
      </c>
      <c r="I21" s="15">
        <f t="shared" ref="I21" si="53">H21</f>
        <v>4000</v>
      </c>
      <c r="J21" s="15">
        <f t="shared" ref="J21" si="54">I21</f>
        <v>4000</v>
      </c>
      <c r="K21" s="15">
        <f t="shared" ref="K21" si="55">J21</f>
        <v>4000</v>
      </c>
      <c r="L21" s="15">
        <f t="shared" ref="L21" si="56">K21</f>
        <v>4000</v>
      </c>
      <c r="M21" s="15">
        <f t="shared" ref="M21" si="57">L21</f>
        <v>4000</v>
      </c>
      <c r="N21" s="15">
        <f t="shared" ref="N21" si="58">M21</f>
        <v>4000</v>
      </c>
      <c r="O21" s="15">
        <f t="shared" ref="O21" si="59">N21</f>
        <v>4000</v>
      </c>
      <c r="P21" s="15">
        <f t="shared" ref="P21" si="60">SUM(D21:O21)</f>
        <v>48000</v>
      </c>
    </row>
    <row r="22" spans="1:20" s="7" customFormat="1" ht="14.4" customHeight="1" x14ac:dyDescent="0.3">
      <c r="A22" s="22">
        <v>4505</v>
      </c>
      <c r="B22" s="43" t="s">
        <v>228</v>
      </c>
      <c r="C22" s="14">
        <f t="shared" si="44"/>
        <v>3.4304523907031973E-3</v>
      </c>
      <c r="D22" s="15">
        <v>1000</v>
      </c>
      <c r="E22" s="15">
        <f t="shared" si="45"/>
        <v>1000</v>
      </c>
      <c r="F22" s="15">
        <f t="shared" ref="F22:O22" si="61">E22</f>
        <v>1000</v>
      </c>
      <c r="G22" s="15">
        <f t="shared" si="61"/>
        <v>1000</v>
      </c>
      <c r="H22" s="15">
        <f t="shared" si="61"/>
        <v>1000</v>
      </c>
      <c r="I22" s="15">
        <f t="shared" si="61"/>
        <v>1000</v>
      </c>
      <c r="J22" s="15">
        <f t="shared" si="61"/>
        <v>1000</v>
      </c>
      <c r="K22" s="15">
        <f t="shared" si="61"/>
        <v>1000</v>
      </c>
      <c r="L22" s="15">
        <f t="shared" si="61"/>
        <v>1000</v>
      </c>
      <c r="M22" s="15">
        <f t="shared" si="61"/>
        <v>1000</v>
      </c>
      <c r="N22" s="15">
        <f t="shared" si="61"/>
        <v>1000</v>
      </c>
      <c r="O22" s="15">
        <f t="shared" si="61"/>
        <v>1000</v>
      </c>
      <c r="P22" s="15">
        <f t="shared" si="47"/>
        <v>12000</v>
      </c>
    </row>
    <row r="23" spans="1:20" ht="14.4" customHeight="1" x14ac:dyDescent="0.3">
      <c r="B23" s="20" t="s">
        <v>119</v>
      </c>
      <c r="C23" s="53">
        <f t="shared" si="44"/>
        <v>0.30670545894581436</v>
      </c>
      <c r="D23" s="17">
        <f t="shared" ref="D23:P23" si="62">SUM(D17:D22)</f>
        <v>89406.709090909091</v>
      </c>
      <c r="E23" s="17">
        <f t="shared" si="62"/>
        <v>89406.709090909091</v>
      </c>
      <c r="F23" s="17">
        <f t="shared" si="62"/>
        <v>89406.709090909091</v>
      </c>
      <c r="G23" s="17">
        <f t="shared" si="62"/>
        <v>89406.709090909091</v>
      </c>
      <c r="H23" s="17">
        <f t="shared" si="62"/>
        <v>89406.709090909091</v>
      </c>
      <c r="I23" s="17">
        <f t="shared" si="62"/>
        <v>89406.709090909091</v>
      </c>
      <c r="J23" s="17">
        <f t="shared" si="62"/>
        <v>89406.709090909091</v>
      </c>
      <c r="K23" s="17">
        <f t="shared" si="62"/>
        <v>89406.709090909091</v>
      </c>
      <c r="L23" s="17">
        <f t="shared" si="62"/>
        <v>89406.709090909091</v>
      </c>
      <c r="M23" s="17">
        <f t="shared" si="62"/>
        <v>89406.709090909091</v>
      </c>
      <c r="N23" s="17">
        <f t="shared" si="62"/>
        <v>89406.709090909091</v>
      </c>
      <c r="O23" s="17">
        <f t="shared" si="62"/>
        <v>89406.709090909091</v>
      </c>
      <c r="P23" s="17">
        <f t="shared" si="62"/>
        <v>1072880.509090909</v>
      </c>
      <c r="Q23" s="81">
        <f>P23/$P$14</f>
        <v>0.30670545894581436</v>
      </c>
    </row>
    <row r="24" spans="1:20" ht="14.4" customHeight="1" x14ac:dyDescent="0.3">
      <c r="A24" s="22"/>
      <c r="B24" s="21"/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20" ht="14.4" customHeight="1" x14ac:dyDescent="0.3">
      <c r="A25" s="23" t="s">
        <v>6</v>
      </c>
      <c r="B25" s="21"/>
      <c r="C25" s="18">
        <f>P25/$P$14</f>
        <v>0.69329454105418553</v>
      </c>
      <c r="D25" s="16">
        <f t="shared" ref="D25:O25" si="63">D14-D23</f>
        <v>202100.03290909086</v>
      </c>
      <c r="E25" s="16">
        <f t="shared" si="63"/>
        <v>202100.03290909086</v>
      </c>
      <c r="F25" s="16">
        <f t="shared" si="63"/>
        <v>202100.03290909086</v>
      </c>
      <c r="G25" s="16">
        <f t="shared" si="63"/>
        <v>202100.03290909086</v>
      </c>
      <c r="H25" s="16">
        <f t="shared" si="63"/>
        <v>202100.03290909086</v>
      </c>
      <c r="I25" s="16">
        <f t="shared" si="63"/>
        <v>202100.03290909086</v>
      </c>
      <c r="J25" s="16">
        <f t="shared" si="63"/>
        <v>202100.03290909086</v>
      </c>
      <c r="K25" s="16">
        <f t="shared" si="63"/>
        <v>202100.03290909086</v>
      </c>
      <c r="L25" s="16">
        <f t="shared" si="63"/>
        <v>202100.03290909086</v>
      </c>
      <c r="M25" s="16">
        <f t="shared" si="63"/>
        <v>202100.03290909086</v>
      </c>
      <c r="N25" s="16">
        <f t="shared" si="63"/>
        <v>202100.03290909086</v>
      </c>
      <c r="O25" s="16">
        <f t="shared" si="63"/>
        <v>202100.03290909086</v>
      </c>
      <c r="P25" s="16">
        <f>SUM(D25:O25)</f>
        <v>2425200.3949090904</v>
      </c>
    </row>
    <row r="26" spans="1:20" ht="14.4" customHeight="1" x14ac:dyDescent="0.3">
      <c r="A26" s="22"/>
      <c r="B26" s="21"/>
      <c r="C26" s="1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20" ht="14.4" customHeight="1" x14ac:dyDescent="0.3">
      <c r="A27" s="23" t="s">
        <v>207</v>
      </c>
      <c r="B27" s="21"/>
      <c r="C27" s="14"/>
      <c r="D27" s="15"/>
      <c r="E27" s="15"/>
      <c r="F27" s="15"/>
      <c r="G27" s="58"/>
      <c r="H27" s="58"/>
      <c r="I27" s="58"/>
      <c r="J27" s="58"/>
      <c r="K27" s="58"/>
      <c r="L27" s="58"/>
      <c r="M27" s="58"/>
      <c r="N27" s="58"/>
      <c r="O27" s="58"/>
      <c r="P27" s="15"/>
    </row>
    <row r="28" spans="1:20" ht="14.4" customHeight="1" x14ac:dyDescent="0.3">
      <c r="A28" s="22">
        <v>5000</v>
      </c>
      <c r="B28" s="43" t="s">
        <v>131</v>
      </c>
      <c r="C28" s="14">
        <f t="shared" ref="C28:C41" si="64">P28/$P$14</f>
        <v>0.40903380241926313</v>
      </c>
      <c r="D28" s="46">
        <f>82500+680000/12-50000</f>
        <v>89166.666666666657</v>
      </c>
      <c r="E28" s="15">
        <f>D28</f>
        <v>89166.666666666657</v>
      </c>
      <c r="F28" s="46">
        <f>82500+680000/12</f>
        <v>139166.66666666666</v>
      </c>
      <c r="G28" s="15">
        <f t="shared" ref="G28:O28" si="65">F28</f>
        <v>139166.66666666666</v>
      </c>
      <c r="H28" s="15">
        <f t="shared" si="65"/>
        <v>139166.66666666666</v>
      </c>
      <c r="I28" s="15">
        <f t="shared" si="65"/>
        <v>139166.66666666666</v>
      </c>
      <c r="J28" s="15">
        <v>0</v>
      </c>
      <c r="K28" s="15">
        <f>I28</f>
        <v>139166.66666666666</v>
      </c>
      <c r="L28" s="15">
        <f t="shared" si="65"/>
        <v>139166.66666666666</v>
      </c>
      <c r="M28" s="15">
        <f t="shared" si="65"/>
        <v>139166.66666666666</v>
      </c>
      <c r="N28" s="15">
        <f t="shared" si="65"/>
        <v>139166.66666666666</v>
      </c>
      <c r="O28" s="15">
        <f t="shared" si="65"/>
        <v>139166.66666666666</v>
      </c>
      <c r="P28" s="15">
        <f t="shared" ref="P28:P38" si="66">SUM(D28:O28)</f>
        <v>1430833.3333333333</v>
      </c>
      <c r="Q28" s="64"/>
    </row>
    <row r="29" spans="1:20" ht="14.4" customHeight="1" x14ac:dyDescent="0.3">
      <c r="A29" s="22">
        <v>5001</v>
      </c>
      <c r="B29" s="43" t="s">
        <v>205</v>
      </c>
      <c r="C29" s="14">
        <f t="shared" si="64"/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f t="shared" si="66"/>
        <v>0</v>
      </c>
      <c r="Q29" s="64"/>
    </row>
    <row r="30" spans="1:20" ht="14.4" customHeight="1" x14ac:dyDescent="0.3">
      <c r="A30" s="22">
        <v>5090</v>
      </c>
      <c r="B30" s="43" t="s">
        <v>132</v>
      </c>
      <c r="C30" s="14">
        <f t="shared" si="64"/>
        <v>4.9084056290311581E-2</v>
      </c>
      <c r="D30" s="15">
        <f t="shared" ref="D30:O30" si="67">SUM(D28*12/100)</f>
        <v>10700</v>
      </c>
      <c r="E30" s="15">
        <f t="shared" si="67"/>
        <v>10700</v>
      </c>
      <c r="F30" s="15">
        <f t="shared" si="67"/>
        <v>16700</v>
      </c>
      <c r="G30" s="15">
        <f t="shared" si="67"/>
        <v>16700</v>
      </c>
      <c r="H30" s="15">
        <f t="shared" si="67"/>
        <v>16700</v>
      </c>
      <c r="I30" s="15">
        <f t="shared" si="67"/>
        <v>16700</v>
      </c>
      <c r="J30" s="15">
        <f t="shared" si="67"/>
        <v>0</v>
      </c>
      <c r="K30" s="15">
        <f t="shared" si="67"/>
        <v>16700</v>
      </c>
      <c r="L30" s="15">
        <f t="shared" si="67"/>
        <v>16700</v>
      </c>
      <c r="M30" s="15">
        <f t="shared" si="67"/>
        <v>16700</v>
      </c>
      <c r="N30" s="15">
        <f t="shared" si="67"/>
        <v>16700</v>
      </c>
      <c r="O30" s="15">
        <f t="shared" si="67"/>
        <v>16700</v>
      </c>
      <c r="P30" s="15">
        <f t="shared" si="66"/>
        <v>171700</v>
      </c>
    </row>
    <row r="31" spans="1:20" ht="14.4" customHeight="1" x14ac:dyDescent="0.3">
      <c r="A31" s="22">
        <v>5110</v>
      </c>
      <c r="B31" s="21" t="s">
        <v>46</v>
      </c>
      <c r="C31" s="14">
        <f t="shared" si="6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f t="shared" si="66"/>
        <v>0</v>
      </c>
    </row>
    <row r="32" spans="1:20" ht="14.4" customHeight="1" x14ac:dyDescent="0.3">
      <c r="A32" s="22">
        <v>5182</v>
      </c>
      <c r="B32" s="21" t="s">
        <v>24</v>
      </c>
      <c r="C32" s="14">
        <f t="shared" si="64"/>
        <v>3.8776404469346142E-3</v>
      </c>
      <c r="D32" s="15">
        <f t="shared" ref="D32:O32" si="68">SUM(D30*7.9%)</f>
        <v>845.3</v>
      </c>
      <c r="E32" s="15">
        <f t="shared" si="68"/>
        <v>845.3</v>
      </c>
      <c r="F32" s="15">
        <f t="shared" si="68"/>
        <v>1319.3</v>
      </c>
      <c r="G32" s="15">
        <f t="shared" si="68"/>
        <v>1319.3</v>
      </c>
      <c r="H32" s="15">
        <f t="shared" si="68"/>
        <v>1319.3</v>
      </c>
      <c r="I32" s="15">
        <f t="shared" si="68"/>
        <v>1319.3</v>
      </c>
      <c r="J32" s="15">
        <f t="shared" si="68"/>
        <v>0</v>
      </c>
      <c r="K32" s="15">
        <f t="shared" si="68"/>
        <v>1319.3</v>
      </c>
      <c r="L32" s="15">
        <f t="shared" si="68"/>
        <v>1319.3</v>
      </c>
      <c r="M32" s="15">
        <f t="shared" si="68"/>
        <v>1319.3</v>
      </c>
      <c r="N32" s="15">
        <f t="shared" si="68"/>
        <v>1319.3</v>
      </c>
      <c r="O32" s="15">
        <f t="shared" si="68"/>
        <v>1319.3</v>
      </c>
      <c r="P32" s="15">
        <f>SUM(D32:O32)</f>
        <v>13564.299999999997</v>
      </c>
    </row>
    <row r="33" spans="1:17" ht="14.4" customHeight="1" x14ac:dyDescent="0.3">
      <c r="A33" s="22">
        <v>5330</v>
      </c>
      <c r="B33" s="21" t="s">
        <v>20</v>
      </c>
      <c r="C33" s="14">
        <f t="shared" si="64"/>
        <v>7.1467758139649951E-2</v>
      </c>
      <c r="D33" s="15">
        <f>250000/12</f>
        <v>20833.333333333332</v>
      </c>
      <c r="E33" s="15">
        <f>D33</f>
        <v>20833.333333333332</v>
      </c>
      <c r="F33" s="15">
        <f t="shared" ref="F33:O33" si="69">E33</f>
        <v>20833.333333333332</v>
      </c>
      <c r="G33" s="15">
        <f t="shared" si="69"/>
        <v>20833.333333333332</v>
      </c>
      <c r="H33" s="15">
        <f t="shared" si="69"/>
        <v>20833.333333333332</v>
      </c>
      <c r="I33" s="15">
        <f t="shared" si="69"/>
        <v>20833.333333333332</v>
      </c>
      <c r="J33" s="15">
        <f t="shared" si="69"/>
        <v>20833.333333333332</v>
      </c>
      <c r="K33" s="15">
        <f t="shared" si="69"/>
        <v>20833.333333333332</v>
      </c>
      <c r="L33" s="15">
        <f t="shared" si="69"/>
        <v>20833.333333333332</v>
      </c>
      <c r="M33" s="15">
        <f t="shared" si="69"/>
        <v>20833.333333333332</v>
      </c>
      <c r="N33" s="15">
        <f t="shared" si="69"/>
        <v>20833.333333333332</v>
      </c>
      <c r="O33" s="15">
        <f t="shared" si="69"/>
        <v>20833.333333333332</v>
      </c>
      <c r="P33" s="15">
        <f>SUM(D33:O33)</f>
        <v>250000.00000000003</v>
      </c>
    </row>
    <row r="34" spans="1:17" ht="14.4" customHeight="1" x14ac:dyDescent="0.3">
      <c r="A34" s="22">
        <v>5400</v>
      </c>
      <c r="B34" s="21" t="s">
        <v>7</v>
      </c>
      <c r="C34" s="14">
        <f t="shared" si="64"/>
        <v>3.7959623284154129E-2</v>
      </c>
      <c r="D34" s="15">
        <f>(D28+D33)*7.9%</f>
        <v>8689.9999999999982</v>
      </c>
      <c r="E34" s="15">
        <f t="shared" ref="E34:O34" si="70">(E28+E33)*7.9%</f>
        <v>8689.9999999999982</v>
      </c>
      <c r="F34" s="15">
        <f t="shared" si="70"/>
        <v>12640</v>
      </c>
      <c r="G34" s="15">
        <f t="shared" si="70"/>
        <v>12640</v>
      </c>
      <c r="H34" s="15">
        <f t="shared" si="70"/>
        <v>12640</v>
      </c>
      <c r="I34" s="15">
        <f t="shared" si="70"/>
        <v>12640</v>
      </c>
      <c r="J34" s="15">
        <f t="shared" si="70"/>
        <v>1645.8333333333333</v>
      </c>
      <c r="K34" s="15">
        <f t="shared" si="70"/>
        <v>12640</v>
      </c>
      <c r="L34" s="15">
        <f t="shared" si="70"/>
        <v>12640</v>
      </c>
      <c r="M34" s="15">
        <f t="shared" si="70"/>
        <v>12640</v>
      </c>
      <c r="N34" s="15">
        <f t="shared" si="70"/>
        <v>12640</v>
      </c>
      <c r="O34" s="15">
        <f t="shared" si="70"/>
        <v>12640</v>
      </c>
      <c r="P34" s="15">
        <f>SUM(D34:O34)</f>
        <v>132785.83333333331</v>
      </c>
    </row>
    <row r="35" spans="1:17" ht="14.4" customHeight="1" x14ac:dyDescent="0.3">
      <c r="B35" s="20" t="s">
        <v>208</v>
      </c>
      <c r="C35" s="53">
        <f>P35/$P$14</f>
        <v>0.57142288058031343</v>
      </c>
      <c r="D35" s="17">
        <f t="shared" ref="D35:P35" si="71">SUM(D28:D34)</f>
        <v>130235.29999999999</v>
      </c>
      <c r="E35" s="17">
        <f t="shared" si="71"/>
        <v>130235.29999999999</v>
      </c>
      <c r="F35" s="17">
        <f t="shared" si="71"/>
        <v>190659.3</v>
      </c>
      <c r="G35" s="17">
        <f t="shared" si="71"/>
        <v>190659.3</v>
      </c>
      <c r="H35" s="17">
        <f t="shared" si="71"/>
        <v>190659.3</v>
      </c>
      <c r="I35" s="17">
        <f t="shared" si="71"/>
        <v>190659.3</v>
      </c>
      <c r="J35" s="17">
        <f t="shared" si="71"/>
        <v>22479.166666666664</v>
      </c>
      <c r="K35" s="17">
        <f t="shared" si="71"/>
        <v>190659.3</v>
      </c>
      <c r="L35" s="17">
        <f t="shared" si="71"/>
        <v>190659.3</v>
      </c>
      <c r="M35" s="17">
        <f t="shared" si="71"/>
        <v>190659.3</v>
      </c>
      <c r="N35" s="17">
        <f t="shared" si="71"/>
        <v>190659.3</v>
      </c>
      <c r="O35" s="17">
        <f t="shared" si="71"/>
        <v>190659.3</v>
      </c>
      <c r="P35" s="17">
        <f t="shared" si="71"/>
        <v>1998883.4666666666</v>
      </c>
      <c r="Q35" s="81"/>
    </row>
    <row r="36" spans="1:17" ht="14.4" customHeight="1" x14ac:dyDescent="0.3">
      <c r="B36" s="23"/>
      <c r="C36" s="5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81"/>
    </row>
    <row r="37" spans="1:17" ht="14.4" customHeight="1" x14ac:dyDescent="0.3">
      <c r="A37" s="23" t="s">
        <v>209</v>
      </c>
      <c r="B37" s="21"/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7" s="7" customFormat="1" ht="14.4" customHeight="1" x14ac:dyDescent="0.3">
      <c r="A38" s="22">
        <v>5920</v>
      </c>
      <c r="B38" s="21" t="s">
        <v>55</v>
      </c>
      <c r="C38" s="14">
        <f t="shared" si="64"/>
        <v>8.5761309767579932E-4</v>
      </c>
      <c r="D38" s="15">
        <v>250</v>
      </c>
      <c r="E38" s="15">
        <f>D38</f>
        <v>250</v>
      </c>
      <c r="F38" s="15">
        <f t="shared" ref="F38:O39" si="72">E38</f>
        <v>250</v>
      </c>
      <c r="G38" s="15">
        <f t="shared" si="72"/>
        <v>250</v>
      </c>
      <c r="H38" s="15">
        <f t="shared" si="72"/>
        <v>250</v>
      </c>
      <c r="I38" s="15">
        <f t="shared" si="72"/>
        <v>250</v>
      </c>
      <c r="J38" s="15">
        <f t="shared" si="72"/>
        <v>250</v>
      </c>
      <c r="K38" s="15">
        <f t="shared" si="72"/>
        <v>250</v>
      </c>
      <c r="L38" s="15">
        <f t="shared" si="72"/>
        <v>250</v>
      </c>
      <c r="M38" s="15">
        <f t="shared" si="72"/>
        <v>250</v>
      </c>
      <c r="N38" s="15">
        <f t="shared" si="72"/>
        <v>250</v>
      </c>
      <c r="O38" s="15">
        <f t="shared" si="72"/>
        <v>250</v>
      </c>
      <c r="P38" s="15">
        <f t="shared" si="66"/>
        <v>3000</v>
      </c>
    </row>
    <row r="39" spans="1:17" ht="14.4" customHeight="1" x14ac:dyDescent="0.3">
      <c r="A39" s="22">
        <v>5945</v>
      </c>
      <c r="B39" s="43" t="s">
        <v>133</v>
      </c>
      <c r="C39" s="14">
        <f t="shared" si="64"/>
        <v>1.6709161853050158E-2</v>
      </c>
      <c r="D39" s="15">
        <f>SUM(F28*3.5/100)</f>
        <v>4870.833333333333</v>
      </c>
      <c r="E39" s="15">
        <f>D39</f>
        <v>4870.833333333333</v>
      </c>
      <c r="F39" s="15">
        <f t="shared" si="72"/>
        <v>4870.833333333333</v>
      </c>
      <c r="G39" s="15">
        <f t="shared" si="72"/>
        <v>4870.833333333333</v>
      </c>
      <c r="H39" s="15">
        <f t="shared" si="72"/>
        <v>4870.833333333333</v>
      </c>
      <c r="I39" s="15">
        <f t="shared" si="72"/>
        <v>4870.833333333333</v>
      </c>
      <c r="J39" s="15">
        <f t="shared" si="72"/>
        <v>4870.833333333333</v>
      </c>
      <c r="K39" s="15">
        <f t="shared" si="72"/>
        <v>4870.833333333333</v>
      </c>
      <c r="L39" s="15">
        <f t="shared" si="72"/>
        <v>4870.833333333333</v>
      </c>
      <c r="M39" s="15">
        <f t="shared" si="72"/>
        <v>4870.833333333333</v>
      </c>
      <c r="N39" s="15">
        <f t="shared" si="72"/>
        <v>4870.833333333333</v>
      </c>
      <c r="O39" s="15">
        <f t="shared" si="72"/>
        <v>4870.833333333333</v>
      </c>
      <c r="P39" s="15">
        <f>SUM(D39:O39)</f>
        <v>58450.000000000007</v>
      </c>
    </row>
    <row r="40" spans="1:17" ht="14.4" customHeight="1" x14ac:dyDescent="0.3">
      <c r="A40" s="22">
        <v>5950</v>
      </c>
      <c r="B40" s="43" t="s">
        <v>206</v>
      </c>
      <c r="C40" s="14">
        <f t="shared" si="64"/>
        <v>1.7152261953515987E-2</v>
      </c>
      <c r="D40" s="15">
        <v>5000</v>
      </c>
      <c r="E40" s="15">
        <f t="shared" ref="E40:O41" si="73">D40</f>
        <v>5000</v>
      </c>
      <c r="F40" s="15">
        <f t="shared" si="73"/>
        <v>5000</v>
      </c>
      <c r="G40" s="15">
        <f t="shared" si="73"/>
        <v>5000</v>
      </c>
      <c r="H40" s="15">
        <f t="shared" si="73"/>
        <v>5000</v>
      </c>
      <c r="I40" s="15">
        <f t="shared" si="73"/>
        <v>5000</v>
      </c>
      <c r="J40" s="15">
        <f t="shared" si="73"/>
        <v>5000</v>
      </c>
      <c r="K40" s="15">
        <f t="shared" si="73"/>
        <v>5000</v>
      </c>
      <c r="L40" s="15">
        <f t="shared" si="73"/>
        <v>5000</v>
      </c>
      <c r="M40" s="15">
        <f t="shared" si="73"/>
        <v>5000</v>
      </c>
      <c r="N40" s="15">
        <f t="shared" si="73"/>
        <v>5000</v>
      </c>
      <c r="O40" s="15">
        <f t="shared" si="73"/>
        <v>5000</v>
      </c>
      <c r="P40" s="15">
        <f>SUM(D40:O40)</f>
        <v>60000</v>
      </c>
    </row>
    <row r="41" spans="1:17" ht="14.4" customHeight="1" x14ac:dyDescent="0.3">
      <c r="A41" s="22">
        <v>5990</v>
      </c>
      <c r="B41" s="43" t="s">
        <v>134</v>
      </c>
      <c r="C41" s="14">
        <f t="shared" si="64"/>
        <v>3.4304523907031973E-3</v>
      </c>
      <c r="D41" s="15">
        <v>1000</v>
      </c>
      <c r="E41" s="15">
        <f>D41</f>
        <v>1000</v>
      </c>
      <c r="F41" s="15">
        <f t="shared" si="73"/>
        <v>1000</v>
      </c>
      <c r="G41" s="15">
        <f t="shared" si="73"/>
        <v>1000</v>
      </c>
      <c r="H41" s="15">
        <f t="shared" si="73"/>
        <v>1000</v>
      </c>
      <c r="I41" s="15">
        <f t="shared" si="73"/>
        <v>1000</v>
      </c>
      <c r="J41" s="15">
        <f t="shared" si="73"/>
        <v>1000</v>
      </c>
      <c r="K41" s="15">
        <f t="shared" si="73"/>
        <v>1000</v>
      </c>
      <c r="L41" s="15">
        <f t="shared" si="73"/>
        <v>1000</v>
      </c>
      <c r="M41" s="15">
        <f t="shared" si="73"/>
        <v>1000</v>
      </c>
      <c r="N41" s="15">
        <f t="shared" si="73"/>
        <v>1000</v>
      </c>
      <c r="O41" s="15">
        <f t="shared" si="73"/>
        <v>1000</v>
      </c>
      <c r="P41" s="15">
        <f>SUM(D41:O41)</f>
        <v>12000</v>
      </c>
    </row>
    <row r="42" spans="1:17" ht="14.4" customHeight="1" x14ac:dyDescent="0.3">
      <c r="A42" s="23"/>
      <c r="B42" s="20" t="s">
        <v>210</v>
      </c>
      <c r="C42" s="56">
        <f>P42/$P$14</f>
        <v>3.8149489294945139E-2</v>
      </c>
      <c r="D42" s="17">
        <f>SUM(D38:D41)</f>
        <v>11120.833333333332</v>
      </c>
      <c r="E42" s="17">
        <f t="shared" ref="E42:O42" si="74">SUM(E38:E41)</f>
        <v>11120.833333333332</v>
      </c>
      <c r="F42" s="17">
        <f t="shared" si="74"/>
        <v>11120.833333333332</v>
      </c>
      <c r="G42" s="17">
        <f t="shared" si="74"/>
        <v>11120.833333333332</v>
      </c>
      <c r="H42" s="17">
        <f t="shared" si="74"/>
        <v>11120.833333333332</v>
      </c>
      <c r="I42" s="17">
        <f t="shared" si="74"/>
        <v>11120.833333333332</v>
      </c>
      <c r="J42" s="17">
        <f t="shared" si="74"/>
        <v>11120.833333333332</v>
      </c>
      <c r="K42" s="17">
        <f t="shared" si="74"/>
        <v>11120.833333333332</v>
      </c>
      <c r="L42" s="17">
        <f t="shared" si="74"/>
        <v>11120.833333333332</v>
      </c>
      <c r="M42" s="17">
        <f t="shared" si="74"/>
        <v>11120.833333333332</v>
      </c>
      <c r="N42" s="17">
        <f t="shared" si="74"/>
        <v>11120.833333333332</v>
      </c>
      <c r="O42" s="17">
        <f t="shared" si="74"/>
        <v>11120.833333333332</v>
      </c>
      <c r="P42" s="17">
        <f>SUM(P38:P41)</f>
        <v>133450</v>
      </c>
      <c r="Q42" s="81"/>
    </row>
    <row r="43" spans="1:17" ht="14.4" customHeight="1" x14ac:dyDescent="0.3">
      <c r="A43" s="23"/>
      <c r="B43" s="23"/>
      <c r="C43" s="1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81"/>
    </row>
    <row r="44" spans="1:17" ht="14.4" customHeight="1" x14ac:dyDescent="0.3">
      <c r="A44" s="23"/>
      <c r="B44" s="23" t="s">
        <v>211</v>
      </c>
      <c r="C44" s="18"/>
      <c r="D44" s="16">
        <f>D35+D42</f>
        <v>141356.13333333333</v>
      </c>
      <c r="E44" s="16">
        <f>E35+E42</f>
        <v>141356.13333333333</v>
      </c>
      <c r="F44" s="16">
        <f>F35+F42</f>
        <v>201780.13333333333</v>
      </c>
      <c r="G44" s="16">
        <f>G35+G42</f>
        <v>201780.13333333333</v>
      </c>
      <c r="H44" s="16">
        <f t="shared" ref="H44:P44" si="75">H35+H42</f>
        <v>201780.13333333333</v>
      </c>
      <c r="I44" s="16">
        <f t="shared" si="75"/>
        <v>201780.13333333333</v>
      </c>
      <c r="J44" s="16">
        <f t="shared" si="75"/>
        <v>33600</v>
      </c>
      <c r="K44" s="16">
        <f t="shared" si="75"/>
        <v>201780.13333333333</v>
      </c>
      <c r="L44" s="16">
        <f t="shared" si="75"/>
        <v>201780.13333333333</v>
      </c>
      <c r="M44" s="16">
        <f t="shared" si="75"/>
        <v>201780.13333333333</v>
      </c>
      <c r="N44" s="16">
        <f t="shared" si="75"/>
        <v>201780.13333333333</v>
      </c>
      <c r="O44" s="16">
        <f t="shared" si="75"/>
        <v>201780.13333333333</v>
      </c>
      <c r="P44" s="16">
        <f t="shared" si="75"/>
        <v>2132333.4666666668</v>
      </c>
      <c r="Q44" s="81"/>
    </row>
    <row r="45" spans="1:17" ht="14.4" customHeight="1" x14ac:dyDescent="0.3">
      <c r="A45" s="23"/>
      <c r="B45" s="23"/>
      <c r="C45" s="1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25"/>
      <c r="Q45" s="81"/>
    </row>
    <row r="46" spans="1:17" ht="14.4" customHeight="1" x14ac:dyDescent="0.3">
      <c r="A46" s="23" t="s">
        <v>6</v>
      </c>
      <c r="B46" s="21"/>
      <c r="C46" s="18">
        <f>P46/$P$14</f>
        <v>8.3722171178927038E-2</v>
      </c>
      <c r="D46" s="16">
        <f>D25-D44</f>
        <v>60743.899575757532</v>
      </c>
      <c r="E46" s="16">
        <f t="shared" ref="E46:O46" si="76">E25-E44</f>
        <v>60743.899575757532</v>
      </c>
      <c r="F46" s="16">
        <f t="shared" si="76"/>
        <v>319.89957575753215</v>
      </c>
      <c r="G46" s="16">
        <f t="shared" si="76"/>
        <v>319.89957575753215</v>
      </c>
      <c r="H46" s="16">
        <f t="shared" si="76"/>
        <v>319.89957575753215</v>
      </c>
      <c r="I46" s="16">
        <f t="shared" si="76"/>
        <v>319.89957575753215</v>
      </c>
      <c r="J46" s="16">
        <f t="shared" si="76"/>
        <v>168500.03290909086</v>
      </c>
      <c r="K46" s="16">
        <f t="shared" si="76"/>
        <v>319.89957575753215</v>
      </c>
      <c r="L46" s="16">
        <f t="shared" si="76"/>
        <v>319.89957575753215</v>
      </c>
      <c r="M46" s="16">
        <f t="shared" si="76"/>
        <v>319.89957575753215</v>
      </c>
      <c r="N46" s="16">
        <f t="shared" si="76"/>
        <v>319.89957575753215</v>
      </c>
      <c r="O46" s="16">
        <f t="shared" si="76"/>
        <v>319.89957575753215</v>
      </c>
      <c r="P46" s="16">
        <f>SUM(D46:O46)</f>
        <v>292866.9282424238</v>
      </c>
      <c r="Q46" s="81"/>
    </row>
    <row r="47" spans="1:17" ht="14.4" customHeight="1" x14ac:dyDescent="0.3">
      <c r="A47" s="23"/>
      <c r="B47" s="23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7" ht="14.4" customHeight="1" x14ac:dyDescent="0.3">
      <c r="A48" s="23" t="s">
        <v>76</v>
      </c>
      <c r="B48" s="21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255" ht="14.4" customHeight="1" x14ac:dyDescent="0.3">
      <c r="A49" s="23"/>
      <c r="B49" s="43" t="s">
        <v>398</v>
      </c>
      <c r="C49" s="14">
        <f>P49/$P$14</f>
        <v>1.2340099572112887E-2</v>
      </c>
      <c r="D49" s="15">
        <f>(82500+47000)/36</f>
        <v>3597.2222222222222</v>
      </c>
      <c r="E49" s="15">
        <f>D49</f>
        <v>3597.2222222222222</v>
      </c>
      <c r="F49" s="15">
        <f t="shared" ref="F49:O49" si="77">E49</f>
        <v>3597.2222222222222</v>
      </c>
      <c r="G49" s="15">
        <f t="shared" si="77"/>
        <v>3597.2222222222222</v>
      </c>
      <c r="H49" s="15">
        <f t="shared" si="77"/>
        <v>3597.2222222222222</v>
      </c>
      <c r="I49" s="15">
        <f t="shared" si="77"/>
        <v>3597.2222222222222</v>
      </c>
      <c r="J49" s="15">
        <f t="shared" si="77"/>
        <v>3597.2222222222222</v>
      </c>
      <c r="K49" s="15">
        <f t="shared" si="77"/>
        <v>3597.2222222222222</v>
      </c>
      <c r="L49" s="15">
        <f t="shared" si="77"/>
        <v>3597.2222222222222</v>
      </c>
      <c r="M49" s="15">
        <f t="shared" si="77"/>
        <v>3597.2222222222222</v>
      </c>
      <c r="N49" s="15">
        <f t="shared" si="77"/>
        <v>3597.2222222222222</v>
      </c>
      <c r="O49" s="15">
        <f t="shared" si="77"/>
        <v>3597.2222222222222</v>
      </c>
      <c r="P49" s="15">
        <f>SUM(D49:O49)</f>
        <v>43166.666666666657</v>
      </c>
    </row>
    <row r="50" spans="1:255" ht="14.4" customHeight="1" x14ac:dyDescent="0.3">
      <c r="A50" s="22">
        <v>6541</v>
      </c>
      <c r="B50" s="43" t="s">
        <v>201</v>
      </c>
      <c r="C50" s="14">
        <f>P50/$P$14</f>
        <v>1.0291357172109591E-2</v>
      </c>
      <c r="D50" s="15">
        <v>3000</v>
      </c>
      <c r="E50" s="15">
        <f t="shared" ref="E50:O50" si="78">D50</f>
        <v>3000</v>
      </c>
      <c r="F50" s="15">
        <f t="shared" si="78"/>
        <v>3000</v>
      </c>
      <c r="G50" s="15">
        <f t="shared" si="78"/>
        <v>3000</v>
      </c>
      <c r="H50" s="15">
        <f t="shared" si="78"/>
        <v>3000</v>
      </c>
      <c r="I50" s="15">
        <f t="shared" si="78"/>
        <v>3000</v>
      </c>
      <c r="J50" s="15">
        <f t="shared" si="78"/>
        <v>3000</v>
      </c>
      <c r="K50" s="15">
        <f t="shared" si="78"/>
        <v>3000</v>
      </c>
      <c r="L50" s="15">
        <f t="shared" si="78"/>
        <v>3000</v>
      </c>
      <c r="M50" s="15">
        <f t="shared" si="78"/>
        <v>3000</v>
      </c>
      <c r="N50" s="15">
        <f t="shared" si="78"/>
        <v>3000</v>
      </c>
      <c r="O50" s="15">
        <f t="shared" si="78"/>
        <v>3000</v>
      </c>
      <c r="P50" s="15">
        <f>SUM(D50:O50)</f>
        <v>36000</v>
      </c>
    </row>
    <row r="51" spans="1:255" ht="14.4" customHeight="1" x14ac:dyDescent="0.3">
      <c r="A51" s="22">
        <v>6553</v>
      </c>
      <c r="B51" s="43" t="s">
        <v>202</v>
      </c>
      <c r="C51" s="14">
        <f>P51/$P$14</f>
        <v>5.1456785860547957E-3</v>
      </c>
      <c r="D51" s="15">
        <v>1500</v>
      </c>
      <c r="E51" s="15">
        <f t="shared" ref="E51:O51" si="79">D51</f>
        <v>1500</v>
      </c>
      <c r="F51" s="15">
        <f t="shared" si="79"/>
        <v>1500</v>
      </c>
      <c r="G51" s="15">
        <f t="shared" si="79"/>
        <v>1500</v>
      </c>
      <c r="H51" s="15">
        <f t="shared" si="79"/>
        <v>1500</v>
      </c>
      <c r="I51" s="15">
        <f t="shared" si="79"/>
        <v>1500</v>
      </c>
      <c r="J51" s="15">
        <f t="shared" si="79"/>
        <v>1500</v>
      </c>
      <c r="K51" s="15">
        <f t="shared" si="79"/>
        <v>1500</v>
      </c>
      <c r="L51" s="15">
        <f t="shared" si="79"/>
        <v>1500</v>
      </c>
      <c r="M51" s="15">
        <f t="shared" si="79"/>
        <v>1500</v>
      </c>
      <c r="N51" s="15">
        <f t="shared" si="79"/>
        <v>1500</v>
      </c>
      <c r="O51" s="15">
        <f t="shared" si="79"/>
        <v>1500</v>
      </c>
      <c r="P51" s="15">
        <f>SUM(D51:O51)</f>
        <v>18000</v>
      </c>
    </row>
    <row r="52" spans="1:255" ht="14.4" customHeight="1" x14ac:dyDescent="0.3">
      <c r="A52" s="23"/>
      <c r="B52" s="20" t="s">
        <v>77</v>
      </c>
      <c r="C52" s="26">
        <f>P52/$P$14</f>
        <v>2.7777135330277276E-2</v>
      </c>
      <c r="D52" s="17">
        <f t="shared" ref="D52:O52" si="80">SUM(D49:D51)</f>
        <v>8097.2222222222226</v>
      </c>
      <c r="E52" s="17">
        <f t="shared" si="80"/>
        <v>8097.2222222222226</v>
      </c>
      <c r="F52" s="17">
        <f t="shared" si="80"/>
        <v>8097.2222222222226</v>
      </c>
      <c r="G52" s="17">
        <f t="shared" si="80"/>
        <v>8097.2222222222226</v>
      </c>
      <c r="H52" s="17">
        <f t="shared" si="80"/>
        <v>8097.2222222222226</v>
      </c>
      <c r="I52" s="17">
        <f t="shared" si="80"/>
        <v>8097.2222222222226</v>
      </c>
      <c r="J52" s="17">
        <f t="shared" si="80"/>
        <v>8097.2222222222226</v>
      </c>
      <c r="K52" s="17">
        <f t="shared" si="80"/>
        <v>8097.2222222222226</v>
      </c>
      <c r="L52" s="17">
        <f t="shared" si="80"/>
        <v>8097.2222222222226</v>
      </c>
      <c r="M52" s="17">
        <f t="shared" si="80"/>
        <v>8097.2222222222226</v>
      </c>
      <c r="N52" s="17">
        <f t="shared" si="80"/>
        <v>8097.2222222222226</v>
      </c>
      <c r="O52" s="17">
        <f t="shared" si="80"/>
        <v>8097.2222222222226</v>
      </c>
      <c r="P52" s="17">
        <f>SUM(P49:P51)</f>
        <v>97166.666666666657</v>
      </c>
    </row>
    <row r="53" spans="1:255" ht="14.4" customHeight="1" x14ac:dyDescent="0.3">
      <c r="A53" s="23"/>
      <c r="B53" s="23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255" ht="14.4" customHeight="1" x14ac:dyDescent="0.3">
      <c r="A54" s="23" t="s">
        <v>83</v>
      </c>
      <c r="B54" s="23"/>
      <c r="C54" s="14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255" ht="14.4" customHeight="1" x14ac:dyDescent="0.3">
      <c r="A55" s="22">
        <v>6701</v>
      </c>
      <c r="B55" s="21" t="s">
        <v>14</v>
      </c>
      <c r="C55" s="14">
        <f>P55/$P$14</f>
        <v>6.8609047814063946E-3</v>
      </c>
      <c r="D55" s="15">
        <v>2000</v>
      </c>
      <c r="E55" s="15">
        <f>D55</f>
        <v>2000</v>
      </c>
      <c r="F55" s="15">
        <f t="shared" ref="F55:O57" si="81">E55</f>
        <v>2000</v>
      </c>
      <c r="G55" s="15">
        <f t="shared" si="81"/>
        <v>2000</v>
      </c>
      <c r="H55" s="15">
        <f t="shared" si="81"/>
        <v>2000</v>
      </c>
      <c r="I55" s="15">
        <f t="shared" si="81"/>
        <v>2000</v>
      </c>
      <c r="J55" s="15">
        <f t="shared" si="81"/>
        <v>2000</v>
      </c>
      <c r="K55" s="15">
        <f t="shared" si="81"/>
        <v>2000</v>
      </c>
      <c r="L55" s="15">
        <f t="shared" si="81"/>
        <v>2000</v>
      </c>
      <c r="M55" s="15">
        <f t="shared" si="81"/>
        <v>2000</v>
      </c>
      <c r="N55" s="15">
        <f t="shared" si="81"/>
        <v>2000</v>
      </c>
      <c r="O55" s="15">
        <f t="shared" si="81"/>
        <v>2000</v>
      </c>
      <c r="P55" s="15">
        <f>SUM(D55:O55)</f>
        <v>24000</v>
      </c>
    </row>
    <row r="56" spans="1:255" ht="14.4" customHeight="1" x14ac:dyDescent="0.3">
      <c r="A56" s="22">
        <v>6705</v>
      </c>
      <c r="B56" s="21" t="s">
        <v>15</v>
      </c>
      <c r="C56" s="14">
        <f>P56/$P$14</f>
        <v>0</v>
      </c>
      <c r="D56" s="15"/>
      <c r="E56" s="15">
        <f>D56</f>
        <v>0</v>
      </c>
      <c r="F56" s="15">
        <f t="shared" si="81"/>
        <v>0</v>
      </c>
      <c r="G56" s="15">
        <f t="shared" si="81"/>
        <v>0</v>
      </c>
      <c r="H56" s="15">
        <f t="shared" si="81"/>
        <v>0</v>
      </c>
      <c r="I56" s="15">
        <f t="shared" si="81"/>
        <v>0</v>
      </c>
      <c r="J56" s="15">
        <f t="shared" si="81"/>
        <v>0</v>
      </c>
      <c r="K56" s="15">
        <f t="shared" si="81"/>
        <v>0</v>
      </c>
      <c r="L56" s="15">
        <f t="shared" si="81"/>
        <v>0</v>
      </c>
      <c r="M56" s="15">
        <f t="shared" si="81"/>
        <v>0</v>
      </c>
      <c r="N56" s="15">
        <f t="shared" si="81"/>
        <v>0</v>
      </c>
      <c r="O56" s="15">
        <f t="shared" si="81"/>
        <v>0</v>
      </c>
      <c r="P56" s="15">
        <f>SUM(D56:O56)</f>
        <v>0</v>
      </c>
    </row>
    <row r="57" spans="1:255" s="13" customFormat="1" ht="14.4" customHeight="1" x14ac:dyDescent="0.3">
      <c r="A57" s="22">
        <v>6725</v>
      </c>
      <c r="B57" s="43" t="s">
        <v>82</v>
      </c>
      <c r="C57" s="14">
        <f>P57/$P$14</f>
        <v>3.4304523907031973E-3</v>
      </c>
      <c r="D57" s="15">
        <v>1000</v>
      </c>
      <c r="E57" s="15">
        <f>D57</f>
        <v>1000</v>
      </c>
      <c r="F57" s="15">
        <f t="shared" si="81"/>
        <v>1000</v>
      </c>
      <c r="G57" s="15">
        <f t="shared" si="81"/>
        <v>1000</v>
      </c>
      <c r="H57" s="15">
        <f t="shared" si="81"/>
        <v>1000</v>
      </c>
      <c r="I57" s="15">
        <f t="shared" si="81"/>
        <v>1000</v>
      </c>
      <c r="J57" s="15">
        <f t="shared" si="81"/>
        <v>1000</v>
      </c>
      <c r="K57" s="15">
        <f t="shared" si="81"/>
        <v>1000</v>
      </c>
      <c r="L57" s="15">
        <f t="shared" si="81"/>
        <v>1000</v>
      </c>
      <c r="M57" s="15">
        <f t="shared" si="81"/>
        <v>1000</v>
      </c>
      <c r="N57" s="15">
        <f t="shared" si="81"/>
        <v>1000</v>
      </c>
      <c r="O57" s="15">
        <f t="shared" si="81"/>
        <v>1000</v>
      </c>
      <c r="P57" s="15">
        <f>SUM(D57:O57)</f>
        <v>12000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</row>
    <row r="58" spans="1:255" ht="14.4" customHeight="1" x14ac:dyDescent="0.3">
      <c r="A58" s="23"/>
      <c r="B58" s="20" t="s">
        <v>84</v>
      </c>
      <c r="C58" s="26">
        <f>P58/$P$14</f>
        <v>1.0291357172109591E-2</v>
      </c>
      <c r="D58" s="17">
        <f t="shared" ref="D58:P58" si="82">SUM(D55:D57)</f>
        <v>3000</v>
      </c>
      <c r="E58" s="17">
        <f t="shared" si="82"/>
        <v>3000</v>
      </c>
      <c r="F58" s="17">
        <f t="shared" si="82"/>
        <v>3000</v>
      </c>
      <c r="G58" s="17">
        <f t="shared" si="82"/>
        <v>3000</v>
      </c>
      <c r="H58" s="17">
        <f t="shared" si="82"/>
        <v>3000</v>
      </c>
      <c r="I58" s="17">
        <f t="shared" si="82"/>
        <v>3000</v>
      </c>
      <c r="J58" s="17">
        <f t="shared" si="82"/>
        <v>3000</v>
      </c>
      <c r="K58" s="17">
        <f t="shared" si="82"/>
        <v>3000</v>
      </c>
      <c r="L58" s="17">
        <f t="shared" si="82"/>
        <v>3000</v>
      </c>
      <c r="M58" s="17">
        <f t="shared" si="82"/>
        <v>3000</v>
      </c>
      <c r="N58" s="17">
        <f t="shared" si="82"/>
        <v>3000</v>
      </c>
      <c r="O58" s="17">
        <f t="shared" si="82"/>
        <v>3000</v>
      </c>
      <c r="P58" s="17">
        <f t="shared" si="82"/>
        <v>36000</v>
      </c>
    </row>
    <row r="59" spans="1:255" ht="14.4" customHeight="1" x14ac:dyDescent="0.3">
      <c r="A59" s="23"/>
      <c r="B59" s="23"/>
      <c r="C59" s="14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255" s="13" customFormat="1" ht="14.4" customHeight="1" x14ac:dyDescent="0.3">
      <c r="A60" s="23" t="s">
        <v>85</v>
      </c>
      <c r="B60" s="43"/>
      <c r="C60" s="14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</row>
    <row r="61" spans="1:255" ht="14.4" customHeight="1" x14ac:dyDescent="0.3">
      <c r="A61" s="22">
        <v>6800</v>
      </c>
      <c r="B61" s="43" t="s">
        <v>87</v>
      </c>
      <c r="C61" s="14">
        <f t="shared" ref="C61:C66" si="83">P61/$P$14</f>
        <v>5.1456785860547957E-3</v>
      </c>
      <c r="D61" s="15">
        <v>1500</v>
      </c>
      <c r="E61" s="15">
        <f t="shared" ref="E61:O61" si="84">D61</f>
        <v>1500</v>
      </c>
      <c r="F61" s="15">
        <f t="shared" si="84"/>
        <v>1500</v>
      </c>
      <c r="G61" s="15">
        <f t="shared" si="84"/>
        <v>1500</v>
      </c>
      <c r="H61" s="15">
        <f t="shared" si="84"/>
        <v>1500</v>
      </c>
      <c r="I61" s="15">
        <f t="shared" si="84"/>
        <v>1500</v>
      </c>
      <c r="J61" s="15">
        <f t="shared" si="84"/>
        <v>1500</v>
      </c>
      <c r="K61" s="15">
        <f t="shared" si="84"/>
        <v>1500</v>
      </c>
      <c r="L61" s="15">
        <f t="shared" si="84"/>
        <v>1500</v>
      </c>
      <c r="M61" s="15">
        <f t="shared" si="84"/>
        <v>1500</v>
      </c>
      <c r="N61" s="15">
        <f t="shared" si="84"/>
        <v>1500</v>
      </c>
      <c r="O61" s="15">
        <f t="shared" si="84"/>
        <v>1500</v>
      </c>
      <c r="P61" s="15">
        <f>SUM(D61:O61)</f>
        <v>18000</v>
      </c>
    </row>
    <row r="62" spans="1:255" ht="14.4" customHeight="1" x14ac:dyDescent="0.3">
      <c r="A62" s="22">
        <v>6840</v>
      </c>
      <c r="B62" s="43" t="s">
        <v>180</v>
      </c>
      <c r="C62" s="14">
        <f t="shared" si="83"/>
        <v>1.7152261953515986E-3</v>
      </c>
      <c r="D62" s="15">
        <v>500</v>
      </c>
      <c r="E62" s="15">
        <f t="shared" ref="E62:O65" si="85">D62</f>
        <v>500</v>
      </c>
      <c r="F62" s="15">
        <f t="shared" si="85"/>
        <v>500</v>
      </c>
      <c r="G62" s="15">
        <f t="shared" si="85"/>
        <v>500</v>
      </c>
      <c r="H62" s="15">
        <f t="shared" si="85"/>
        <v>500</v>
      </c>
      <c r="I62" s="15">
        <f t="shared" si="85"/>
        <v>500</v>
      </c>
      <c r="J62" s="15">
        <f t="shared" si="85"/>
        <v>500</v>
      </c>
      <c r="K62" s="15">
        <f t="shared" si="85"/>
        <v>500</v>
      </c>
      <c r="L62" s="15">
        <f t="shared" si="85"/>
        <v>500</v>
      </c>
      <c r="M62" s="15">
        <f t="shared" si="85"/>
        <v>500</v>
      </c>
      <c r="N62" s="15">
        <f t="shared" si="85"/>
        <v>500</v>
      </c>
      <c r="O62" s="15">
        <f t="shared" si="85"/>
        <v>500</v>
      </c>
      <c r="P62" s="15">
        <f>SUM(D62:O62)</f>
        <v>6000</v>
      </c>
    </row>
    <row r="63" spans="1:255" ht="14.4" customHeight="1" x14ac:dyDescent="0.3">
      <c r="A63" s="22">
        <v>6860</v>
      </c>
      <c r="B63" s="43" t="s">
        <v>111</v>
      </c>
      <c r="C63" s="14">
        <f t="shared" si="83"/>
        <v>1.7152261953515986E-3</v>
      </c>
      <c r="D63" s="15">
        <v>500</v>
      </c>
      <c r="E63" s="15">
        <f t="shared" si="85"/>
        <v>500</v>
      </c>
      <c r="F63" s="15">
        <f t="shared" si="85"/>
        <v>500</v>
      </c>
      <c r="G63" s="15">
        <f t="shared" si="85"/>
        <v>500</v>
      </c>
      <c r="H63" s="15">
        <f t="shared" si="85"/>
        <v>500</v>
      </c>
      <c r="I63" s="15">
        <f t="shared" si="85"/>
        <v>500</v>
      </c>
      <c r="J63" s="15">
        <f t="shared" si="85"/>
        <v>500</v>
      </c>
      <c r="K63" s="15">
        <f t="shared" si="85"/>
        <v>500</v>
      </c>
      <c r="L63" s="15">
        <f t="shared" si="85"/>
        <v>500</v>
      </c>
      <c r="M63" s="15">
        <f t="shared" si="85"/>
        <v>500</v>
      </c>
      <c r="N63" s="15">
        <f t="shared" si="85"/>
        <v>500</v>
      </c>
      <c r="O63" s="15">
        <f t="shared" si="85"/>
        <v>500</v>
      </c>
      <c r="P63" s="15">
        <f>SUM(D63:O63)</f>
        <v>6000</v>
      </c>
    </row>
    <row r="64" spans="1:255" ht="14.4" customHeight="1" x14ac:dyDescent="0.3">
      <c r="A64" s="22">
        <v>6890</v>
      </c>
      <c r="B64" s="43" t="s">
        <v>89</v>
      </c>
      <c r="C64" s="14">
        <f t="shared" si="83"/>
        <v>0</v>
      </c>
      <c r="D64" s="15"/>
      <c r="E64" s="15">
        <f t="shared" si="85"/>
        <v>0</v>
      </c>
      <c r="F64" s="15">
        <f t="shared" si="85"/>
        <v>0</v>
      </c>
      <c r="G64" s="15">
        <f t="shared" si="85"/>
        <v>0</v>
      </c>
      <c r="H64" s="15">
        <f t="shared" si="85"/>
        <v>0</v>
      </c>
      <c r="I64" s="15">
        <f t="shared" si="85"/>
        <v>0</v>
      </c>
      <c r="J64" s="15">
        <f t="shared" si="85"/>
        <v>0</v>
      </c>
      <c r="K64" s="15">
        <f t="shared" si="85"/>
        <v>0</v>
      </c>
      <c r="L64" s="15">
        <f t="shared" si="85"/>
        <v>0</v>
      </c>
      <c r="M64" s="15">
        <f t="shared" si="85"/>
        <v>0</v>
      </c>
      <c r="N64" s="15">
        <f t="shared" si="85"/>
        <v>0</v>
      </c>
      <c r="O64" s="15">
        <f t="shared" si="85"/>
        <v>0</v>
      </c>
      <c r="P64" s="15">
        <f>SUM(D64:O64)</f>
        <v>0</v>
      </c>
    </row>
    <row r="65" spans="1:16" ht="14.4" customHeight="1" x14ac:dyDescent="0.3">
      <c r="A65" s="22">
        <v>6903</v>
      </c>
      <c r="B65" s="43" t="s">
        <v>203</v>
      </c>
      <c r="C65" s="14">
        <f t="shared" si="83"/>
        <v>4.1165428688438362E-3</v>
      </c>
      <c r="D65" s="15">
        <v>1200</v>
      </c>
      <c r="E65" s="15">
        <f t="shared" si="85"/>
        <v>1200</v>
      </c>
      <c r="F65" s="15">
        <f t="shared" si="85"/>
        <v>1200</v>
      </c>
      <c r="G65" s="15">
        <f t="shared" si="85"/>
        <v>1200</v>
      </c>
      <c r="H65" s="15">
        <f t="shared" si="85"/>
        <v>1200</v>
      </c>
      <c r="I65" s="15">
        <f t="shared" si="85"/>
        <v>1200</v>
      </c>
      <c r="J65" s="15">
        <f t="shared" si="85"/>
        <v>1200</v>
      </c>
      <c r="K65" s="15">
        <f t="shared" si="85"/>
        <v>1200</v>
      </c>
      <c r="L65" s="15">
        <f t="shared" si="85"/>
        <v>1200</v>
      </c>
      <c r="M65" s="15">
        <f t="shared" si="85"/>
        <v>1200</v>
      </c>
      <c r="N65" s="15">
        <f t="shared" si="85"/>
        <v>1200</v>
      </c>
      <c r="O65" s="15">
        <f t="shared" si="85"/>
        <v>1200</v>
      </c>
      <c r="P65" s="15">
        <f>SUM(D65:O65)</f>
        <v>14400</v>
      </c>
    </row>
    <row r="66" spans="1:16" ht="14.4" customHeight="1" x14ac:dyDescent="0.3">
      <c r="A66" s="23"/>
      <c r="B66" s="20" t="s">
        <v>86</v>
      </c>
      <c r="C66" s="26">
        <f t="shared" si="83"/>
        <v>1.269267384560183E-2</v>
      </c>
      <c r="D66" s="17">
        <f t="shared" ref="D66:P66" si="86">SUM(D61:D65)</f>
        <v>3700</v>
      </c>
      <c r="E66" s="17">
        <f t="shared" si="86"/>
        <v>3700</v>
      </c>
      <c r="F66" s="17">
        <f t="shared" si="86"/>
        <v>3700</v>
      </c>
      <c r="G66" s="17">
        <f t="shared" si="86"/>
        <v>3700</v>
      </c>
      <c r="H66" s="17">
        <f t="shared" si="86"/>
        <v>3700</v>
      </c>
      <c r="I66" s="17">
        <f t="shared" si="86"/>
        <v>3700</v>
      </c>
      <c r="J66" s="17">
        <f t="shared" si="86"/>
        <v>3700</v>
      </c>
      <c r="K66" s="17">
        <f t="shared" si="86"/>
        <v>3700</v>
      </c>
      <c r="L66" s="17">
        <f t="shared" si="86"/>
        <v>3700</v>
      </c>
      <c r="M66" s="17">
        <f t="shared" si="86"/>
        <v>3700</v>
      </c>
      <c r="N66" s="17">
        <f t="shared" si="86"/>
        <v>3700</v>
      </c>
      <c r="O66" s="17">
        <f t="shared" si="86"/>
        <v>3700</v>
      </c>
      <c r="P66" s="17">
        <f t="shared" si="86"/>
        <v>44400</v>
      </c>
    </row>
    <row r="67" spans="1:16" ht="14.4" customHeight="1" x14ac:dyDescent="0.3">
      <c r="A67" s="23"/>
      <c r="B67" s="23"/>
      <c r="C67" s="1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ht="14.4" customHeight="1" x14ac:dyDescent="0.3">
      <c r="A68" s="23" t="s">
        <v>129</v>
      </c>
      <c r="B68" s="21"/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4.4" customHeight="1" x14ac:dyDescent="0.3">
      <c r="A69" s="22">
        <v>7100</v>
      </c>
      <c r="B69" s="43" t="s">
        <v>94</v>
      </c>
      <c r="C69" s="14">
        <f>P69/$P$14</f>
        <v>1.2006583367461189E-2</v>
      </c>
      <c r="D69" s="15">
        <v>3500</v>
      </c>
      <c r="E69" s="15">
        <f t="shared" ref="E69:O72" si="87">D69</f>
        <v>3500</v>
      </c>
      <c r="F69" s="15">
        <f t="shared" si="87"/>
        <v>3500</v>
      </c>
      <c r="G69" s="15">
        <f t="shared" si="87"/>
        <v>3500</v>
      </c>
      <c r="H69" s="15">
        <f t="shared" si="87"/>
        <v>3500</v>
      </c>
      <c r="I69" s="15">
        <f t="shared" si="87"/>
        <v>3500</v>
      </c>
      <c r="J69" s="15">
        <f t="shared" si="87"/>
        <v>3500</v>
      </c>
      <c r="K69" s="15">
        <f t="shared" si="87"/>
        <v>3500</v>
      </c>
      <c r="L69" s="15">
        <f t="shared" si="87"/>
        <v>3500</v>
      </c>
      <c r="M69" s="15">
        <f t="shared" si="87"/>
        <v>3500</v>
      </c>
      <c r="N69" s="15">
        <f t="shared" si="87"/>
        <v>3500</v>
      </c>
      <c r="O69" s="15">
        <f t="shared" si="87"/>
        <v>3500</v>
      </c>
      <c r="P69" s="15">
        <f>SUM(D69:O69)</f>
        <v>42000</v>
      </c>
    </row>
    <row r="70" spans="1:16" ht="14.4" customHeight="1" x14ac:dyDescent="0.3">
      <c r="A70" s="22">
        <v>7140</v>
      </c>
      <c r="B70" s="43" t="s">
        <v>95</v>
      </c>
      <c r="C70" s="14">
        <f>P70/$P$14</f>
        <v>0</v>
      </c>
      <c r="D70" s="15">
        <v>0</v>
      </c>
      <c r="E70" s="15">
        <f t="shared" ref="E70:O70" si="88">D70</f>
        <v>0</v>
      </c>
      <c r="F70" s="15">
        <f t="shared" si="88"/>
        <v>0</v>
      </c>
      <c r="G70" s="15">
        <f t="shared" si="88"/>
        <v>0</v>
      </c>
      <c r="H70" s="15">
        <f t="shared" si="88"/>
        <v>0</v>
      </c>
      <c r="I70" s="15">
        <f t="shared" si="88"/>
        <v>0</v>
      </c>
      <c r="J70" s="15">
        <f t="shared" si="88"/>
        <v>0</v>
      </c>
      <c r="K70" s="15">
        <f t="shared" si="88"/>
        <v>0</v>
      </c>
      <c r="L70" s="15">
        <f t="shared" si="88"/>
        <v>0</v>
      </c>
      <c r="M70" s="15">
        <f t="shared" si="88"/>
        <v>0</v>
      </c>
      <c r="N70" s="15">
        <f t="shared" si="88"/>
        <v>0</v>
      </c>
      <c r="O70" s="15">
        <f t="shared" si="88"/>
        <v>0</v>
      </c>
      <c r="P70" s="15">
        <f>SUM(D70:O70)</f>
        <v>0</v>
      </c>
    </row>
    <row r="71" spans="1:16" s="7" customFormat="1" ht="14.4" customHeight="1" x14ac:dyDescent="0.3">
      <c r="A71" s="22">
        <v>7150</v>
      </c>
      <c r="B71" s="43" t="s">
        <v>96</v>
      </c>
      <c r="C71" s="14">
        <f>P71/$P$14</f>
        <v>0</v>
      </c>
      <c r="D71" s="15">
        <v>0</v>
      </c>
      <c r="E71" s="15">
        <f t="shared" si="87"/>
        <v>0</v>
      </c>
      <c r="F71" s="15">
        <f t="shared" si="87"/>
        <v>0</v>
      </c>
      <c r="G71" s="15">
        <f t="shared" si="87"/>
        <v>0</v>
      </c>
      <c r="H71" s="15">
        <f t="shared" si="87"/>
        <v>0</v>
      </c>
      <c r="I71" s="15">
        <f t="shared" si="87"/>
        <v>0</v>
      </c>
      <c r="J71" s="15">
        <f t="shared" si="87"/>
        <v>0</v>
      </c>
      <c r="K71" s="15">
        <f t="shared" si="87"/>
        <v>0</v>
      </c>
      <c r="L71" s="15">
        <f t="shared" si="87"/>
        <v>0</v>
      </c>
      <c r="M71" s="15">
        <f t="shared" si="87"/>
        <v>0</v>
      </c>
      <c r="N71" s="15">
        <f t="shared" si="87"/>
        <v>0</v>
      </c>
      <c r="O71" s="15">
        <f t="shared" si="87"/>
        <v>0</v>
      </c>
      <c r="P71" s="15">
        <f>SUM(D71:O71)</f>
        <v>0</v>
      </c>
    </row>
    <row r="72" spans="1:16" s="7" customFormat="1" ht="14.4" customHeight="1" x14ac:dyDescent="0.3">
      <c r="A72" s="22">
        <v>7160</v>
      </c>
      <c r="B72" s="43" t="s">
        <v>97</v>
      </c>
      <c r="C72" s="14">
        <f>P72/$P$14</f>
        <v>0</v>
      </c>
      <c r="D72" s="15">
        <v>0</v>
      </c>
      <c r="E72" s="15">
        <f t="shared" si="87"/>
        <v>0</v>
      </c>
      <c r="F72" s="15">
        <f t="shared" si="87"/>
        <v>0</v>
      </c>
      <c r="G72" s="15">
        <f t="shared" si="87"/>
        <v>0</v>
      </c>
      <c r="H72" s="15">
        <f t="shared" si="87"/>
        <v>0</v>
      </c>
      <c r="I72" s="15">
        <f t="shared" si="87"/>
        <v>0</v>
      </c>
      <c r="J72" s="15">
        <f t="shared" si="87"/>
        <v>0</v>
      </c>
      <c r="K72" s="15">
        <f t="shared" si="87"/>
        <v>0</v>
      </c>
      <c r="L72" s="15">
        <f t="shared" si="87"/>
        <v>0</v>
      </c>
      <c r="M72" s="15">
        <f t="shared" si="87"/>
        <v>0</v>
      </c>
      <c r="N72" s="15">
        <f t="shared" si="87"/>
        <v>0</v>
      </c>
      <c r="O72" s="15">
        <f t="shared" si="87"/>
        <v>0</v>
      </c>
      <c r="P72" s="15">
        <f>SUM(D72:O72)</f>
        <v>0</v>
      </c>
    </row>
    <row r="73" spans="1:16" s="7" customFormat="1" ht="14.4" customHeight="1" x14ac:dyDescent="0.3">
      <c r="A73" s="23"/>
      <c r="B73" s="20" t="s">
        <v>93</v>
      </c>
      <c r="C73" s="26">
        <f>P73/$P$14</f>
        <v>1.2006583367461189E-2</v>
      </c>
      <c r="D73" s="17">
        <f t="shared" ref="D73:P73" si="89">SUM(D69:D72)</f>
        <v>3500</v>
      </c>
      <c r="E73" s="17">
        <f t="shared" si="89"/>
        <v>3500</v>
      </c>
      <c r="F73" s="17">
        <f t="shared" si="89"/>
        <v>3500</v>
      </c>
      <c r="G73" s="17">
        <f t="shared" si="89"/>
        <v>3500</v>
      </c>
      <c r="H73" s="17">
        <f t="shared" si="89"/>
        <v>3500</v>
      </c>
      <c r="I73" s="17">
        <f t="shared" si="89"/>
        <v>3500</v>
      </c>
      <c r="J73" s="17">
        <f t="shared" si="89"/>
        <v>3500</v>
      </c>
      <c r="K73" s="17">
        <f t="shared" si="89"/>
        <v>3500</v>
      </c>
      <c r="L73" s="17">
        <f t="shared" si="89"/>
        <v>3500</v>
      </c>
      <c r="M73" s="17">
        <f t="shared" si="89"/>
        <v>3500</v>
      </c>
      <c r="N73" s="17">
        <f t="shared" si="89"/>
        <v>3500</v>
      </c>
      <c r="O73" s="17">
        <f t="shared" si="89"/>
        <v>3500</v>
      </c>
      <c r="P73" s="17">
        <f t="shared" si="89"/>
        <v>42000</v>
      </c>
    </row>
    <row r="74" spans="1:16" s="7" customFormat="1" ht="14.4" customHeight="1" x14ac:dyDescent="0.3">
      <c r="A74" s="23"/>
      <c r="B74" s="23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ht="14.4" customHeight="1" x14ac:dyDescent="0.3">
      <c r="A75" s="23" t="s">
        <v>103</v>
      </c>
      <c r="B75" s="21"/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4.4" customHeight="1" x14ac:dyDescent="0.3">
      <c r="A76" s="22">
        <v>7400</v>
      </c>
      <c r="B76" s="43" t="s">
        <v>105</v>
      </c>
      <c r="C76" s="14">
        <f>P76/$P$14</f>
        <v>3.4304523907031973E-3</v>
      </c>
      <c r="D76" s="15">
        <v>1000</v>
      </c>
      <c r="E76" s="15">
        <f t="shared" ref="E76:O76" si="90">D76</f>
        <v>1000</v>
      </c>
      <c r="F76" s="15">
        <f t="shared" si="90"/>
        <v>1000</v>
      </c>
      <c r="G76" s="15">
        <f t="shared" si="90"/>
        <v>1000</v>
      </c>
      <c r="H76" s="15">
        <f t="shared" si="90"/>
        <v>1000</v>
      </c>
      <c r="I76" s="15">
        <f t="shared" si="90"/>
        <v>1000</v>
      </c>
      <c r="J76" s="15">
        <f t="shared" si="90"/>
        <v>1000</v>
      </c>
      <c r="K76" s="15">
        <f t="shared" si="90"/>
        <v>1000</v>
      </c>
      <c r="L76" s="15">
        <f t="shared" si="90"/>
        <v>1000</v>
      </c>
      <c r="M76" s="15">
        <f t="shared" si="90"/>
        <v>1000</v>
      </c>
      <c r="N76" s="15">
        <f t="shared" si="90"/>
        <v>1000</v>
      </c>
      <c r="O76" s="15">
        <f t="shared" si="90"/>
        <v>1000</v>
      </c>
      <c r="P76" s="15">
        <f>SUM(D76:O76)</f>
        <v>12000</v>
      </c>
    </row>
    <row r="77" spans="1:16" s="7" customFormat="1" ht="14.4" customHeight="1" x14ac:dyDescent="0.3">
      <c r="A77" s="23"/>
      <c r="B77" s="20" t="s">
        <v>104</v>
      </c>
      <c r="C77" s="26">
        <f>P77/$P$14</f>
        <v>3.4304523907031973E-3</v>
      </c>
      <c r="D77" s="17">
        <f t="shared" ref="D77:P77" si="91">SUM(D76:D76)</f>
        <v>1000</v>
      </c>
      <c r="E77" s="17">
        <f t="shared" si="91"/>
        <v>1000</v>
      </c>
      <c r="F77" s="17">
        <f t="shared" si="91"/>
        <v>1000</v>
      </c>
      <c r="G77" s="17">
        <f t="shared" si="91"/>
        <v>1000</v>
      </c>
      <c r="H77" s="17">
        <f t="shared" si="91"/>
        <v>1000</v>
      </c>
      <c r="I77" s="17">
        <f t="shared" si="91"/>
        <v>1000</v>
      </c>
      <c r="J77" s="17">
        <f t="shared" si="91"/>
        <v>1000</v>
      </c>
      <c r="K77" s="17">
        <f t="shared" si="91"/>
        <v>1000</v>
      </c>
      <c r="L77" s="17">
        <f t="shared" si="91"/>
        <v>1000</v>
      </c>
      <c r="M77" s="17">
        <f t="shared" si="91"/>
        <v>1000</v>
      </c>
      <c r="N77" s="17">
        <f t="shared" si="91"/>
        <v>1000</v>
      </c>
      <c r="O77" s="17">
        <f t="shared" si="91"/>
        <v>1000</v>
      </c>
      <c r="P77" s="17">
        <f t="shared" si="91"/>
        <v>12000</v>
      </c>
    </row>
    <row r="78" spans="1:16" s="7" customFormat="1" ht="14.4" customHeight="1" x14ac:dyDescent="0.3">
      <c r="A78" s="23"/>
      <c r="B78" s="23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ht="14.4" customHeight="1" x14ac:dyDescent="0.3">
      <c r="A79" s="23" t="s">
        <v>109</v>
      </c>
      <c r="B79" s="21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ht="14.4" customHeight="1" x14ac:dyDescent="0.3">
      <c r="A80" s="22">
        <v>7770</v>
      </c>
      <c r="B80" s="43" t="s">
        <v>112</v>
      </c>
      <c r="C80" s="14">
        <f>P80/$P$14</f>
        <v>1.7152261953515986E-3</v>
      </c>
      <c r="D80" s="15">
        <v>500</v>
      </c>
      <c r="E80" s="15">
        <f t="shared" ref="E80:O80" si="92">D80</f>
        <v>500</v>
      </c>
      <c r="F80" s="15">
        <f t="shared" si="92"/>
        <v>500</v>
      </c>
      <c r="G80" s="15">
        <f t="shared" si="92"/>
        <v>500</v>
      </c>
      <c r="H80" s="15">
        <f t="shared" si="92"/>
        <v>500</v>
      </c>
      <c r="I80" s="15">
        <f t="shared" si="92"/>
        <v>500</v>
      </c>
      <c r="J80" s="15">
        <f t="shared" si="92"/>
        <v>500</v>
      </c>
      <c r="K80" s="15">
        <f t="shared" si="92"/>
        <v>500</v>
      </c>
      <c r="L80" s="15">
        <f t="shared" si="92"/>
        <v>500</v>
      </c>
      <c r="M80" s="15">
        <f t="shared" si="92"/>
        <v>500</v>
      </c>
      <c r="N80" s="15">
        <f t="shared" si="92"/>
        <v>500</v>
      </c>
      <c r="O80" s="15">
        <f t="shared" si="92"/>
        <v>500</v>
      </c>
      <c r="P80" s="15">
        <f>SUM(D80:O80)</f>
        <v>6000</v>
      </c>
    </row>
    <row r="81" spans="1:17" s="7" customFormat="1" ht="14.4" customHeight="1" x14ac:dyDescent="0.3">
      <c r="A81" s="23"/>
      <c r="B81" s="20" t="s">
        <v>110</v>
      </c>
      <c r="C81" s="26">
        <f>P81/$P$14</f>
        <v>1.7152261953515986E-3</v>
      </c>
      <c r="D81" s="17">
        <f t="shared" ref="D81:P81" si="93">SUM(D80:D80)</f>
        <v>500</v>
      </c>
      <c r="E81" s="17">
        <f t="shared" si="93"/>
        <v>500</v>
      </c>
      <c r="F81" s="17">
        <f t="shared" si="93"/>
        <v>500</v>
      </c>
      <c r="G81" s="17">
        <f t="shared" si="93"/>
        <v>500</v>
      </c>
      <c r="H81" s="17">
        <f t="shared" si="93"/>
        <v>500</v>
      </c>
      <c r="I81" s="17">
        <f t="shared" si="93"/>
        <v>500</v>
      </c>
      <c r="J81" s="17">
        <f t="shared" si="93"/>
        <v>500</v>
      </c>
      <c r="K81" s="17">
        <f t="shared" si="93"/>
        <v>500</v>
      </c>
      <c r="L81" s="17">
        <f t="shared" si="93"/>
        <v>500</v>
      </c>
      <c r="M81" s="17">
        <f t="shared" si="93"/>
        <v>500</v>
      </c>
      <c r="N81" s="17">
        <f t="shared" si="93"/>
        <v>500</v>
      </c>
      <c r="O81" s="17">
        <f t="shared" si="93"/>
        <v>500</v>
      </c>
      <c r="P81" s="17">
        <f t="shared" si="93"/>
        <v>6000</v>
      </c>
    </row>
    <row r="82" spans="1:17" s="7" customFormat="1" ht="14.4" customHeight="1" x14ac:dyDescent="0.3">
      <c r="A82" s="23"/>
      <c r="B82" s="23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7" s="27" customFormat="1" ht="14.4" customHeight="1" x14ac:dyDescent="0.3">
      <c r="A83" s="20" t="s">
        <v>16</v>
      </c>
      <c r="B83" s="28"/>
      <c r="C83" s="26">
        <f t="shared" ref="C83:C89" si="94">P83/$P$14</f>
        <v>1.5808742877422354E-2</v>
      </c>
      <c r="D83" s="17">
        <f>SUM(D46-D52-D58-D66-D73-D77-D81)</f>
        <v>40946.677353535313</v>
      </c>
      <c r="E83" s="17">
        <f t="shared" ref="E83:P83" si="95">SUM(E46-E52-E58-E66-E73-E77-E81)</f>
        <v>40946.677353535313</v>
      </c>
      <c r="F83" s="17">
        <f t="shared" si="95"/>
        <v>-19477.32264646469</v>
      </c>
      <c r="G83" s="17">
        <f t="shared" si="95"/>
        <v>-19477.32264646469</v>
      </c>
      <c r="H83" s="17">
        <f t="shared" si="95"/>
        <v>-19477.32264646469</v>
      </c>
      <c r="I83" s="17">
        <f t="shared" si="95"/>
        <v>-19477.32264646469</v>
      </c>
      <c r="J83" s="17">
        <f t="shared" si="95"/>
        <v>148702.81068686864</v>
      </c>
      <c r="K83" s="17">
        <f t="shared" si="95"/>
        <v>-19477.32264646469</v>
      </c>
      <c r="L83" s="17">
        <f t="shared" si="95"/>
        <v>-19477.32264646469</v>
      </c>
      <c r="M83" s="17">
        <f t="shared" si="95"/>
        <v>-19477.32264646469</v>
      </c>
      <c r="N83" s="17">
        <f t="shared" si="95"/>
        <v>-19477.32264646469</v>
      </c>
      <c r="O83" s="17">
        <f t="shared" si="95"/>
        <v>-19477.32264646469</v>
      </c>
      <c r="P83" s="17">
        <f t="shared" si="95"/>
        <v>55300.261575757148</v>
      </c>
      <c r="Q83" s="82">
        <f>P83/$P$14</f>
        <v>1.5808742877422354E-2</v>
      </c>
    </row>
    <row r="84" spans="1:17" ht="14.4" customHeight="1" x14ac:dyDescent="0.3">
      <c r="A84" s="29"/>
      <c r="B84" s="21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7" ht="14.4" customHeight="1" x14ac:dyDescent="0.3">
      <c r="A85" s="23" t="s">
        <v>17</v>
      </c>
      <c r="B85" s="21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7" ht="14.4" customHeight="1" outlineLevel="1" x14ac:dyDescent="0.3">
      <c r="A86" s="22">
        <v>8156</v>
      </c>
      <c r="B86" s="21" t="s">
        <v>52</v>
      </c>
      <c r="C86" s="14">
        <f t="shared" si="94"/>
        <v>5.4887238251251157E-2</v>
      </c>
      <c r="D86" s="15">
        <v>16000</v>
      </c>
      <c r="E86" s="15">
        <f>D86</f>
        <v>16000</v>
      </c>
      <c r="F86" s="15">
        <f t="shared" ref="F86:O86" si="96">E86</f>
        <v>16000</v>
      </c>
      <c r="G86" s="15">
        <f t="shared" si="96"/>
        <v>16000</v>
      </c>
      <c r="H86" s="15">
        <f t="shared" si="96"/>
        <v>16000</v>
      </c>
      <c r="I86" s="15">
        <f t="shared" si="96"/>
        <v>16000</v>
      </c>
      <c r="J86" s="15">
        <f t="shared" si="96"/>
        <v>16000</v>
      </c>
      <c r="K86" s="15">
        <f t="shared" si="96"/>
        <v>16000</v>
      </c>
      <c r="L86" s="15">
        <f t="shared" si="96"/>
        <v>16000</v>
      </c>
      <c r="M86" s="15">
        <f t="shared" si="96"/>
        <v>16000</v>
      </c>
      <c r="N86" s="15">
        <f t="shared" si="96"/>
        <v>16000</v>
      </c>
      <c r="O86" s="15">
        <f t="shared" si="96"/>
        <v>16000</v>
      </c>
      <c r="P86" s="15">
        <f>SUM(D86:O86)</f>
        <v>192000</v>
      </c>
    </row>
    <row r="87" spans="1:17" ht="14.4" customHeight="1" x14ac:dyDescent="0.3">
      <c r="A87" s="9"/>
      <c r="B87" s="20" t="s">
        <v>39</v>
      </c>
      <c r="C87" s="26">
        <f t="shared" si="94"/>
        <v>5.4887238251251157E-2</v>
      </c>
      <c r="D87" s="17">
        <f t="shared" ref="D87:P87" si="97">SUM(D86:D86)</f>
        <v>16000</v>
      </c>
      <c r="E87" s="17">
        <f t="shared" si="97"/>
        <v>16000</v>
      </c>
      <c r="F87" s="17">
        <f t="shared" si="97"/>
        <v>16000</v>
      </c>
      <c r="G87" s="17">
        <f t="shared" si="97"/>
        <v>16000</v>
      </c>
      <c r="H87" s="17">
        <f t="shared" si="97"/>
        <v>16000</v>
      </c>
      <c r="I87" s="17">
        <f t="shared" si="97"/>
        <v>16000</v>
      </c>
      <c r="J87" s="17">
        <f t="shared" si="97"/>
        <v>16000</v>
      </c>
      <c r="K87" s="17">
        <f t="shared" si="97"/>
        <v>16000</v>
      </c>
      <c r="L87" s="17">
        <f t="shared" si="97"/>
        <v>16000</v>
      </c>
      <c r="M87" s="17">
        <f t="shared" si="97"/>
        <v>16000</v>
      </c>
      <c r="N87" s="17">
        <f t="shared" si="97"/>
        <v>16000</v>
      </c>
      <c r="O87" s="17">
        <f t="shared" si="97"/>
        <v>16000</v>
      </c>
      <c r="P87" s="17">
        <f t="shared" si="97"/>
        <v>192000</v>
      </c>
    </row>
    <row r="88" spans="1:17" ht="14.4" customHeight="1" x14ac:dyDescent="0.3">
      <c r="A88" s="9"/>
      <c r="B88" s="24"/>
      <c r="C88" s="18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7" ht="14.4" customHeight="1" x14ac:dyDescent="0.3">
      <c r="A89" s="31" t="s">
        <v>22</v>
      </c>
      <c r="B89" s="25"/>
      <c r="C89" s="38">
        <f t="shared" si="94"/>
        <v>-3.9078495373828799E-2</v>
      </c>
      <c r="D89" s="19">
        <f t="shared" ref="D89:P89" si="98">D83-D87</f>
        <v>24946.677353535313</v>
      </c>
      <c r="E89" s="19">
        <f t="shared" si="98"/>
        <v>24946.677353535313</v>
      </c>
      <c r="F89" s="19">
        <f t="shared" si="98"/>
        <v>-35477.322646464687</v>
      </c>
      <c r="G89" s="19">
        <f t="shared" si="98"/>
        <v>-35477.322646464687</v>
      </c>
      <c r="H89" s="19">
        <f t="shared" si="98"/>
        <v>-35477.322646464687</v>
      </c>
      <c r="I89" s="19">
        <f t="shared" si="98"/>
        <v>-35477.322646464687</v>
      </c>
      <c r="J89" s="19">
        <f t="shared" si="98"/>
        <v>132702.81068686864</v>
      </c>
      <c r="K89" s="19">
        <f t="shared" si="98"/>
        <v>-35477.322646464687</v>
      </c>
      <c r="L89" s="19">
        <f t="shared" si="98"/>
        <v>-35477.322646464687</v>
      </c>
      <c r="M89" s="19">
        <f t="shared" si="98"/>
        <v>-35477.322646464687</v>
      </c>
      <c r="N89" s="19">
        <f t="shared" si="98"/>
        <v>-35477.322646464687</v>
      </c>
      <c r="O89" s="19">
        <f t="shared" si="98"/>
        <v>-35477.322646464687</v>
      </c>
      <c r="P89" s="19">
        <f t="shared" si="98"/>
        <v>-136699.73842424285</v>
      </c>
    </row>
    <row r="90" spans="1:17" ht="14.4" customHeight="1" x14ac:dyDescent="0.3">
      <c r="A90" s="8"/>
      <c r="B90" s="24"/>
      <c r="C90" s="32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7" ht="14.4" customHeight="1" x14ac:dyDescent="0.3">
      <c r="A91" s="31" t="s">
        <v>23</v>
      </c>
      <c r="B91" s="25"/>
      <c r="C91" s="33"/>
      <c r="D91" s="19">
        <f>D89</f>
        <v>24946.677353535313</v>
      </c>
      <c r="E91" s="19">
        <f>D91+E89</f>
        <v>49893.354707070626</v>
      </c>
      <c r="F91" s="19">
        <f t="shared" ref="F91:N91" si="99">E91+F89</f>
        <v>14416.032060605939</v>
      </c>
      <c r="G91" s="19">
        <f t="shared" si="99"/>
        <v>-21061.290585858747</v>
      </c>
      <c r="H91" s="19">
        <f t="shared" si="99"/>
        <v>-56538.613232323434</v>
      </c>
      <c r="I91" s="19">
        <f t="shared" si="99"/>
        <v>-92015.935878788121</v>
      </c>
      <c r="J91" s="19">
        <f>I91+J89</f>
        <v>40686.874808080524</v>
      </c>
      <c r="K91" s="19">
        <f t="shared" si="99"/>
        <v>5209.5521616158367</v>
      </c>
      <c r="L91" s="19">
        <f t="shared" si="99"/>
        <v>-30267.77048484885</v>
      </c>
      <c r="M91" s="19">
        <f>L91+M89</f>
        <v>-65745.093131313537</v>
      </c>
      <c r="N91" s="19">
        <f t="shared" si="99"/>
        <v>-101222.41577777822</v>
      </c>
      <c r="O91" s="19">
        <f>N91+O89</f>
        <v>-136699.73842424291</v>
      </c>
      <c r="P91" s="19">
        <f>O91</f>
        <v>-136699.73842424291</v>
      </c>
    </row>
    <row r="92" spans="1:17" ht="14.4" customHeight="1" x14ac:dyDescent="0.3"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6"/>
    </row>
    <row r="93" spans="1:17" ht="14.4" customHeight="1" x14ac:dyDescent="0.3"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6"/>
    </row>
    <row r="94" spans="1:17" ht="14.4" customHeight="1" x14ac:dyDescent="0.4">
      <c r="B94" s="12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6"/>
    </row>
    <row r="95" spans="1:17" ht="14.4" customHeight="1" x14ac:dyDescent="0.3"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6"/>
    </row>
    <row r="96" spans="1:17" ht="14.4" customHeight="1" x14ac:dyDescent="0.3"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6"/>
    </row>
    <row r="97" spans="3:16" ht="14.4" customHeight="1" x14ac:dyDescent="0.3"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6"/>
    </row>
    <row r="98" spans="3:16" ht="14.4" customHeight="1" x14ac:dyDescent="0.3"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6"/>
    </row>
    <row r="99" spans="3:16" ht="14.4" customHeight="1" x14ac:dyDescent="0.3"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6"/>
    </row>
    <row r="100" spans="3:16" ht="14.4" customHeight="1" x14ac:dyDescent="0.3"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6"/>
    </row>
    <row r="101" spans="3:16" ht="14.4" customHeight="1" x14ac:dyDescent="0.3"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6"/>
    </row>
    <row r="102" spans="3:16" ht="14.4" customHeight="1" x14ac:dyDescent="0.3"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6"/>
    </row>
    <row r="103" spans="3:16" ht="14.4" customHeight="1" x14ac:dyDescent="0.3"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6"/>
    </row>
    <row r="104" spans="3:16" ht="14.4" customHeight="1" x14ac:dyDescent="0.3"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6"/>
    </row>
    <row r="105" spans="3:16" ht="14.4" customHeight="1" x14ac:dyDescent="0.3"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6"/>
    </row>
    <row r="106" spans="3:16" ht="14.4" customHeight="1" x14ac:dyDescent="0.3"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6"/>
    </row>
    <row r="107" spans="3:16" ht="14.4" customHeight="1" x14ac:dyDescent="0.3"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6"/>
    </row>
    <row r="108" spans="3:16" ht="14.4" customHeight="1" x14ac:dyDescent="0.3"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6"/>
    </row>
    <row r="109" spans="3:16" ht="14.4" customHeight="1" x14ac:dyDescent="0.3"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6"/>
    </row>
    <row r="110" spans="3:16" ht="14.4" customHeight="1" x14ac:dyDescent="0.3"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6"/>
    </row>
    <row r="111" spans="3:16" ht="14.4" customHeight="1" x14ac:dyDescent="0.3"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6"/>
    </row>
    <row r="112" spans="3:16" ht="14.4" customHeight="1" x14ac:dyDescent="0.3"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6"/>
    </row>
    <row r="113" spans="3:16" ht="14.4" customHeight="1" x14ac:dyDescent="0.3"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6"/>
    </row>
    <row r="114" spans="3:16" ht="14.4" customHeight="1" x14ac:dyDescent="0.3"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6"/>
    </row>
    <row r="115" spans="3:16" ht="14.4" customHeight="1" x14ac:dyDescent="0.3"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6"/>
    </row>
    <row r="116" spans="3:16" ht="14.4" customHeight="1" x14ac:dyDescent="0.3"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6"/>
    </row>
  </sheetData>
  <pageMargins left="0.27559055118110237" right="0.27559055118110237" top="0.27559055118110237" bottom="0.27559055118110237" header="0.31496062992125984" footer="0.31496062992125984"/>
  <pageSetup paperSize="9" scale="4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V172"/>
  <sheetViews>
    <sheetView topLeftCell="A127" zoomScale="111" zoomScaleNormal="111" workbookViewId="0">
      <selection activeCell="Q142" sqref="Q142"/>
    </sheetView>
  </sheetViews>
  <sheetFormatPr baseColWidth="10" defaultRowHeight="12.45" outlineLevelRow="1" x14ac:dyDescent="0.3"/>
  <cols>
    <col min="1" max="1" width="4.84375" style="1" customWidth="1"/>
    <col min="2" max="2" width="26.07421875" customWidth="1"/>
    <col min="3" max="3" width="7.4609375" style="2" bestFit="1" customWidth="1"/>
    <col min="4" max="6" width="7.69140625" customWidth="1"/>
    <col min="7" max="7" width="8.69140625" bestFit="1" customWidth="1"/>
    <col min="8" max="15" width="7.69140625" customWidth="1"/>
    <col min="16" max="16" width="9.3046875" style="3" customWidth="1"/>
    <col min="17" max="17" width="11.53515625" style="121"/>
  </cols>
  <sheetData>
    <row r="1" spans="1:256" x14ac:dyDescent="0.3">
      <c r="A1" s="8" t="s">
        <v>370</v>
      </c>
      <c r="B1" s="7"/>
      <c r="C1" s="44" t="s">
        <v>61</v>
      </c>
    </row>
    <row r="3" spans="1:256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5.75" customHeight="1" x14ac:dyDescent="0.3">
      <c r="A4" s="30" t="s">
        <v>4</v>
      </c>
      <c r="B4" s="4"/>
      <c r="C4" s="5"/>
    </row>
    <row r="5" spans="1:256" x14ac:dyDescent="0.3">
      <c r="A5" s="22">
        <v>3010</v>
      </c>
      <c r="B5" s="43" t="s">
        <v>57</v>
      </c>
      <c r="C5" s="14">
        <f>P5/$P$8</f>
        <v>0.2670674510885363</v>
      </c>
      <c r="D5" s="15">
        <f>'Areal - forutsetn.'!G48</f>
        <v>613348.12</v>
      </c>
      <c r="E5" s="15">
        <f>'Areal - forutsetn.'!H48</f>
        <v>718990.0199999999</v>
      </c>
      <c r="F5" s="15">
        <f>'Areal - forutsetn.'!I48</f>
        <v>753227.6399999999</v>
      </c>
      <c r="G5" s="15">
        <f>'Areal - forutsetn.'!J48</f>
        <v>582039.53999999992</v>
      </c>
      <c r="H5" s="15">
        <f>'Areal - forutsetn.'!K48</f>
        <v>650514.77999999991</v>
      </c>
      <c r="I5" s="15">
        <f>'Areal - forutsetn.'!L48</f>
        <v>650514.77999999991</v>
      </c>
      <c r="J5" s="15">
        <f>'Areal - forutsetn.'!M48</f>
        <v>342376.19999999995</v>
      </c>
      <c r="K5" s="15">
        <f>'Areal - forutsetn.'!N48</f>
        <v>575192.01599999995</v>
      </c>
      <c r="L5" s="15">
        <f>'Areal - forutsetn.'!O48</f>
        <v>790889.02199999988</v>
      </c>
      <c r="M5" s="15">
        <f>'Areal - forutsetn.'!P48</f>
        <v>790889.02199999988</v>
      </c>
      <c r="N5" s="15">
        <f>'Areal - forutsetn.'!Q48</f>
        <v>683040.51899999997</v>
      </c>
      <c r="O5" s="15">
        <f>'Areal - forutsetn.'!R48</f>
        <v>617989.04099999997</v>
      </c>
      <c r="P5" s="15">
        <f>SUM(D5:O5)</f>
        <v>7769010.6999999993</v>
      </c>
    </row>
    <row r="6" spans="1:256" x14ac:dyDescent="0.3">
      <c r="A6" s="22">
        <v>3011</v>
      </c>
      <c r="B6" s="43" t="s">
        <v>56</v>
      </c>
      <c r="C6" s="14">
        <f>P6/$P$8</f>
        <v>0.68343112016874197</v>
      </c>
      <c r="D6" s="15">
        <f>'Areal - forutsetn.'!G47</f>
        <v>1760281.6000000001</v>
      </c>
      <c r="E6" s="15">
        <f>'Areal - forutsetn.'!H47</f>
        <v>1731740.8499999999</v>
      </c>
      <c r="F6" s="15">
        <f>'Areal - forutsetn.'!I47</f>
        <v>1814204.7</v>
      </c>
      <c r="G6" s="15">
        <f>'Areal - forutsetn.'!J47</f>
        <v>1401885.45</v>
      </c>
      <c r="H6" s="15">
        <f>'Areal - forutsetn.'!K47</f>
        <v>1848108.1500000001</v>
      </c>
      <c r="I6" s="15">
        <f>'Areal - forutsetn.'!L47</f>
        <v>1848108.1500000001</v>
      </c>
      <c r="J6" s="15">
        <f>'Areal - forutsetn.'!M47</f>
        <v>972688.5</v>
      </c>
      <c r="K6" s="15">
        <f>'Areal - forutsetn.'!N47</f>
        <v>1634116.6799999997</v>
      </c>
      <c r="L6" s="15">
        <f>'Areal - forutsetn.'!O47</f>
        <v>2132911.9350000001</v>
      </c>
      <c r="M6" s="15">
        <f>'Areal - forutsetn.'!P47</f>
        <v>1790916.4349999998</v>
      </c>
      <c r="N6" s="15">
        <f>'Areal - forutsetn.'!Q47</f>
        <v>1546700.5574999996</v>
      </c>
      <c r="O6" s="15">
        <f>'Areal - forutsetn.'!R47</f>
        <v>1399395.7425000002</v>
      </c>
      <c r="P6" s="15">
        <f>SUM(D6:O6)</f>
        <v>19881058.75</v>
      </c>
    </row>
    <row r="7" spans="1:256" x14ac:dyDescent="0.3">
      <c r="A7" s="22">
        <v>3012</v>
      </c>
      <c r="B7" s="43" t="s">
        <v>198</v>
      </c>
      <c r="C7" s="14">
        <f>P7/$P$8</f>
        <v>4.9501428742721683E-2</v>
      </c>
      <c r="D7" s="15">
        <v>120000</v>
      </c>
      <c r="E7" s="15">
        <f>D7</f>
        <v>120000</v>
      </c>
      <c r="F7" s="15">
        <f t="shared" ref="F7:O7" si="0">E7</f>
        <v>120000</v>
      </c>
      <c r="G7" s="15">
        <f t="shared" si="0"/>
        <v>120000</v>
      </c>
      <c r="H7" s="15">
        <f t="shared" si="0"/>
        <v>120000</v>
      </c>
      <c r="I7" s="15">
        <f t="shared" si="0"/>
        <v>120000</v>
      </c>
      <c r="J7" s="15">
        <f t="shared" si="0"/>
        <v>120000</v>
      </c>
      <c r="K7" s="15">
        <f t="shared" si="0"/>
        <v>120000</v>
      </c>
      <c r="L7" s="15">
        <f t="shared" si="0"/>
        <v>120000</v>
      </c>
      <c r="M7" s="15">
        <f t="shared" si="0"/>
        <v>120000</v>
      </c>
      <c r="N7" s="15">
        <f t="shared" si="0"/>
        <v>120000</v>
      </c>
      <c r="O7" s="15">
        <f t="shared" si="0"/>
        <v>120000</v>
      </c>
      <c r="P7" s="15">
        <f>SUM(D7:O7)</f>
        <v>1440000</v>
      </c>
    </row>
    <row r="8" spans="1:256" s="21" customFormat="1" ht="10.3" x14ac:dyDescent="0.25">
      <c r="B8" s="20" t="s">
        <v>36</v>
      </c>
      <c r="C8" s="53">
        <f>P8/$P$8</f>
        <v>1</v>
      </c>
      <c r="D8" s="17">
        <f t="shared" ref="D8:P8" si="1">SUM(D5:D7)</f>
        <v>2493629.7200000002</v>
      </c>
      <c r="E8" s="17">
        <f t="shared" si="1"/>
        <v>2570730.8699999996</v>
      </c>
      <c r="F8" s="17">
        <f t="shared" si="1"/>
        <v>2687432.34</v>
      </c>
      <c r="G8" s="17">
        <f t="shared" si="1"/>
        <v>2103924.9899999998</v>
      </c>
      <c r="H8" s="17">
        <f t="shared" si="1"/>
        <v>2618622.9300000002</v>
      </c>
      <c r="I8" s="17">
        <f t="shared" si="1"/>
        <v>2618622.9300000002</v>
      </c>
      <c r="J8" s="17">
        <f t="shared" si="1"/>
        <v>1435064.7</v>
      </c>
      <c r="K8" s="17">
        <f t="shared" si="1"/>
        <v>2329308.6959999995</v>
      </c>
      <c r="L8" s="17">
        <f t="shared" si="1"/>
        <v>3043800.9569999999</v>
      </c>
      <c r="M8" s="17">
        <f t="shared" si="1"/>
        <v>2701805.4569999995</v>
      </c>
      <c r="N8" s="17">
        <f t="shared" si="1"/>
        <v>2349741.0764999995</v>
      </c>
      <c r="O8" s="17">
        <f t="shared" si="1"/>
        <v>2137384.7834999999</v>
      </c>
      <c r="P8" s="17">
        <f t="shared" si="1"/>
        <v>29090069.449999999</v>
      </c>
      <c r="Q8" s="121"/>
      <c r="IV8" s="15">
        <f>SUM(D8:IU8)</f>
        <v>58180138.899999991</v>
      </c>
    </row>
    <row r="9" spans="1:256" s="21" customFormat="1" ht="10.3" x14ac:dyDescent="0.25">
      <c r="B9" s="23"/>
      <c r="C9" s="14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21"/>
      <c r="IV9" s="15"/>
    </row>
    <row r="10" spans="1:256" x14ac:dyDescent="0.3">
      <c r="A10" s="23" t="s">
        <v>5</v>
      </c>
      <c r="B10" s="21"/>
      <c r="C10" s="14"/>
    </row>
    <row r="11" spans="1:256" s="7" customFormat="1" x14ac:dyDescent="0.3">
      <c r="A11" s="22">
        <v>4010</v>
      </c>
      <c r="B11" s="43" t="s">
        <v>60</v>
      </c>
      <c r="C11" s="70">
        <v>0.48</v>
      </c>
      <c r="D11" s="15">
        <f t="shared" ref="D11:O11" si="2">D5*$C$11</f>
        <v>294407.09759999998</v>
      </c>
      <c r="E11" s="15">
        <f t="shared" si="2"/>
        <v>345115.20959999994</v>
      </c>
      <c r="F11" s="15">
        <f t="shared" si="2"/>
        <v>361549.26719999994</v>
      </c>
      <c r="G11" s="15">
        <f t="shared" si="2"/>
        <v>279378.97919999994</v>
      </c>
      <c r="H11" s="15">
        <f t="shared" si="2"/>
        <v>312247.09439999994</v>
      </c>
      <c r="I11" s="15">
        <f t="shared" si="2"/>
        <v>312247.09439999994</v>
      </c>
      <c r="J11" s="15">
        <f t="shared" si="2"/>
        <v>164340.57599999997</v>
      </c>
      <c r="K11" s="15">
        <f t="shared" si="2"/>
        <v>276092.16767999995</v>
      </c>
      <c r="L11" s="15">
        <f t="shared" si="2"/>
        <v>379626.73055999994</v>
      </c>
      <c r="M11" s="15">
        <f t="shared" si="2"/>
        <v>379626.73055999994</v>
      </c>
      <c r="N11" s="15">
        <f t="shared" si="2"/>
        <v>327859.44911999995</v>
      </c>
      <c r="O11" s="15">
        <f t="shared" si="2"/>
        <v>296634.73968</v>
      </c>
      <c r="P11" s="15">
        <f t="shared" ref="P11:P16" si="3">SUM(D11:O11)</f>
        <v>3729125.1359999995</v>
      </c>
      <c r="Q11" s="121"/>
    </row>
    <row r="12" spans="1:256" s="7" customFormat="1" hidden="1" x14ac:dyDescent="0.3">
      <c r="A12" s="22"/>
      <c r="B12" s="120"/>
      <c r="C12" s="70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21"/>
    </row>
    <row r="13" spans="1:256" s="7" customFormat="1" x14ac:dyDescent="0.3">
      <c r="A13" s="22">
        <v>4011</v>
      </c>
      <c r="B13" s="43" t="s">
        <v>59</v>
      </c>
      <c r="C13" s="70">
        <v>0.13</v>
      </c>
      <c r="D13" s="15">
        <f t="shared" ref="D13:O13" si="4">D6*$C$13</f>
        <v>228836.60800000001</v>
      </c>
      <c r="E13" s="15">
        <f t="shared" si="4"/>
        <v>225126.31049999999</v>
      </c>
      <c r="F13" s="15">
        <f t="shared" si="4"/>
        <v>235846.611</v>
      </c>
      <c r="G13" s="15">
        <f t="shared" si="4"/>
        <v>182245.1085</v>
      </c>
      <c r="H13" s="15">
        <f t="shared" si="4"/>
        <v>240254.05950000003</v>
      </c>
      <c r="I13" s="15">
        <f t="shared" si="4"/>
        <v>240254.05950000003</v>
      </c>
      <c r="J13" s="15">
        <f t="shared" si="4"/>
        <v>126449.505</v>
      </c>
      <c r="K13" s="15">
        <f t="shared" si="4"/>
        <v>212435.16839999997</v>
      </c>
      <c r="L13" s="15">
        <f t="shared" si="4"/>
        <v>277278.55155000003</v>
      </c>
      <c r="M13" s="15">
        <f t="shared" si="4"/>
        <v>232819.13655</v>
      </c>
      <c r="N13" s="15">
        <f t="shared" si="4"/>
        <v>201071.07247499996</v>
      </c>
      <c r="O13" s="15">
        <f t="shared" si="4"/>
        <v>181921.44652500004</v>
      </c>
      <c r="P13" s="15">
        <f t="shared" si="3"/>
        <v>2584537.6374999997</v>
      </c>
      <c r="Q13" s="121">
        <f>P13/P6</f>
        <v>0.12999999999999998</v>
      </c>
    </row>
    <row r="14" spans="1:256" s="7" customFormat="1" x14ac:dyDescent="0.3">
      <c r="A14" s="22">
        <v>4350</v>
      </c>
      <c r="B14" s="43" t="s">
        <v>70</v>
      </c>
      <c r="C14" s="14">
        <f>P14/$P$8</f>
        <v>8.2502381237869477E-3</v>
      </c>
      <c r="D14" s="15">
        <v>20000</v>
      </c>
      <c r="E14" s="15">
        <f>D14</f>
        <v>20000</v>
      </c>
      <c r="F14" s="15">
        <f t="shared" ref="F14:O16" si="5">E14</f>
        <v>20000</v>
      </c>
      <c r="G14" s="15">
        <f t="shared" si="5"/>
        <v>20000</v>
      </c>
      <c r="H14" s="15">
        <f t="shared" si="5"/>
        <v>20000</v>
      </c>
      <c r="I14" s="15">
        <f t="shared" si="5"/>
        <v>20000</v>
      </c>
      <c r="J14" s="15">
        <f t="shared" si="5"/>
        <v>20000</v>
      </c>
      <c r="K14" s="15">
        <f t="shared" si="5"/>
        <v>20000</v>
      </c>
      <c r="L14" s="15">
        <f t="shared" si="5"/>
        <v>20000</v>
      </c>
      <c r="M14" s="15">
        <f t="shared" si="5"/>
        <v>20000</v>
      </c>
      <c r="N14" s="15">
        <f t="shared" si="5"/>
        <v>20000</v>
      </c>
      <c r="O14" s="15">
        <f t="shared" si="5"/>
        <v>20000</v>
      </c>
      <c r="P14" s="15">
        <f t="shared" si="3"/>
        <v>240000</v>
      </c>
      <c r="Q14" s="121"/>
    </row>
    <row r="15" spans="1:256" s="7" customFormat="1" x14ac:dyDescent="0.3">
      <c r="A15" s="22">
        <v>4500</v>
      </c>
      <c r="B15" s="43" t="s">
        <v>321</v>
      </c>
      <c r="C15" s="14">
        <f>P15/$P$8</f>
        <v>4.5001298857019721E-2</v>
      </c>
      <c r="D15" s="15">
        <f>D7/1.1</f>
        <v>109090.90909090909</v>
      </c>
      <c r="E15" s="15">
        <f>D15</f>
        <v>109090.90909090909</v>
      </c>
      <c r="F15" s="15">
        <f t="shared" si="5"/>
        <v>109090.90909090909</v>
      </c>
      <c r="G15" s="15">
        <f t="shared" si="5"/>
        <v>109090.90909090909</v>
      </c>
      <c r="H15" s="15">
        <f t="shared" si="5"/>
        <v>109090.90909090909</v>
      </c>
      <c r="I15" s="15">
        <f t="shared" si="5"/>
        <v>109090.90909090909</v>
      </c>
      <c r="J15" s="15">
        <f t="shared" si="5"/>
        <v>109090.90909090909</v>
      </c>
      <c r="K15" s="15">
        <f t="shared" si="5"/>
        <v>109090.90909090909</v>
      </c>
      <c r="L15" s="15">
        <f t="shared" si="5"/>
        <v>109090.90909090909</v>
      </c>
      <c r="M15" s="15">
        <f t="shared" si="5"/>
        <v>109090.90909090909</v>
      </c>
      <c r="N15" s="15">
        <f t="shared" si="5"/>
        <v>109090.90909090909</v>
      </c>
      <c r="O15" s="15">
        <f t="shared" si="5"/>
        <v>109090.90909090909</v>
      </c>
      <c r="P15" s="15">
        <f t="shared" si="3"/>
        <v>1309090.9090909092</v>
      </c>
      <c r="Q15" s="121"/>
    </row>
    <row r="16" spans="1:256" s="7" customFormat="1" x14ac:dyDescent="0.3">
      <c r="A16" s="22">
        <v>4505</v>
      </c>
      <c r="B16" s="43" t="s">
        <v>71</v>
      </c>
      <c r="C16" s="14">
        <f>P16/$P$8</f>
        <v>1.5812956403924983E-2</v>
      </c>
      <c r="D16" s="15">
        <v>30000</v>
      </c>
      <c r="E16" s="15">
        <f>D16</f>
        <v>30000</v>
      </c>
      <c r="F16" s="15">
        <f t="shared" si="5"/>
        <v>30000</v>
      </c>
      <c r="G16" s="15">
        <f t="shared" si="5"/>
        <v>30000</v>
      </c>
      <c r="H16" s="15">
        <v>50000</v>
      </c>
      <c r="I16" s="15">
        <f t="shared" si="5"/>
        <v>50000</v>
      </c>
      <c r="J16" s="15">
        <f t="shared" si="5"/>
        <v>50000</v>
      </c>
      <c r="K16" s="15">
        <f t="shared" si="5"/>
        <v>50000</v>
      </c>
      <c r="L16" s="15">
        <f t="shared" si="5"/>
        <v>50000</v>
      </c>
      <c r="M16" s="15">
        <v>30000</v>
      </c>
      <c r="N16" s="15">
        <f t="shared" si="5"/>
        <v>30000</v>
      </c>
      <c r="O16" s="15">
        <f t="shared" si="5"/>
        <v>30000</v>
      </c>
      <c r="P16" s="15">
        <f t="shared" si="3"/>
        <v>460000</v>
      </c>
      <c r="Q16" s="121"/>
    </row>
    <row r="17" spans="1:17" x14ac:dyDescent="0.3">
      <c r="B17" s="20" t="s">
        <v>119</v>
      </c>
      <c r="C17" s="53">
        <f>P17/$P$8</f>
        <v>0.2861029155291655</v>
      </c>
      <c r="D17" s="17">
        <f t="shared" ref="D17:P17" si="6">SUM(D11:D16)</f>
        <v>682334.61469090905</v>
      </c>
      <c r="E17" s="17">
        <f t="shared" si="6"/>
        <v>729332.42919090902</v>
      </c>
      <c r="F17" s="17">
        <f t="shared" si="6"/>
        <v>756486.78729090898</v>
      </c>
      <c r="G17" s="17">
        <f t="shared" si="6"/>
        <v>620714.99679090898</v>
      </c>
      <c r="H17" s="17">
        <f t="shared" si="6"/>
        <v>731592.06299090909</v>
      </c>
      <c r="I17" s="17">
        <f t="shared" si="6"/>
        <v>731592.06299090909</v>
      </c>
      <c r="J17" s="17">
        <f t="shared" si="6"/>
        <v>469880.99009090906</v>
      </c>
      <c r="K17" s="17">
        <f t="shared" si="6"/>
        <v>667618.24517090898</v>
      </c>
      <c r="L17" s="17">
        <f t="shared" si="6"/>
        <v>835996.19120090909</v>
      </c>
      <c r="M17" s="17">
        <f t="shared" si="6"/>
        <v>771536.77620090905</v>
      </c>
      <c r="N17" s="17">
        <f t="shared" si="6"/>
        <v>688021.430685909</v>
      </c>
      <c r="O17" s="17">
        <f t="shared" si="6"/>
        <v>637647.09529590909</v>
      </c>
      <c r="P17" s="17">
        <f t="shared" si="6"/>
        <v>8322753.6825909084</v>
      </c>
      <c r="Q17" s="124">
        <f>P17/$P$8</f>
        <v>0.2861029155291655</v>
      </c>
    </row>
    <row r="18" spans="1:17" x14ac:dyDescent="0.3">
      <c r="A18" s="22"/>
      <c r="B18" s="21"/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7" x14ac:dyDescent="0.3">
      <c r="A19" s="23" t="s">
        <v>6</v>
      </c>
      <c r="B19" s="21"/>
      <c r="C19" s="18">
        <f>P19/$P$8</f>
        <v>0.71389708447083444</v>
      </c>
      <c r="D19" s="16">
        <f t="shared" ref="D19:O19" si="7">D8-D17</f>
        <v>1811295.105309091</v>
      </c>
      <c r="E19" s="16">
        <f t="shared" si="7"/>
        <v>1841398.4408090906</v>
      </c>
      <c r="F19" s="16">
        <f t="shared" si="7"/>
        <v>1930945.552709091</v>
      </c>
      <c r="G19" s="16">
        <f t="shared" si="7"/>
        <v>1483209.9932090908</v>
      </c>
      <c r="H19" s="16">
        <f t="shared" si="7"/>
        <v>1887030.8670090912</v>
      </c>
      <c r="I19" s="16">
        <f t="shared" si="7"/>
        <v>1887030.8670090912</v>
      </c>
      <c r="J19" s="16">
        <f t="shared" si="7"/>
        <v>965183.70990909089</v>
      </c>
      <c r="K19" s="16">
        <f t="shared" si="7"/>
        <v>1661690.4508290906</v>
      </c>
      <c r="L19" s="16">
        <f t="shared" si="7"/>
        <v>2207804.7657990907</v>
      </c>
      <c r="M19" s="16">
        <f t="shared" si="7"/>
        <v>1930268.6807990903</v>
      </c>
      <c r="N19" s="16">
        <f t="shared" si="7"/>
        <v>1661719.6458140905</v>
      </c>
      <c r="O19" s="16">
        <f t="shared" si="7"/>
        <v>1499737.6882040908</v>
      </c>
      <c r="P19" s="16">
        <f>SUM(D19:O19)</f>
        <v>20767315.76740909</v>
      </c>
    </row>
    <row r="20" spans="1:17" x14ac:dyDescent="0.3">
      <c r="A20" s="22"/>
      <c r="B20" s="21"/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7" x14ac:dyDescent="0.3">
      <c r="A21" s="23" t="s">
        <v>207</v>
      </c>
      <c r="B21" s="21"/>
      <c r="C21" s="14"/>
      <c r="D21" s="15"/>
      <c r="E21" s="15"/>
      <c r="F21" s="15"/>
      <c r="G21" s="58"/>
      <c r="H21" s="58"/>
      <c r="I21" s="58"/>
      <c r="J21" s="58"/>
      <c r="K21" s="58"/>
      <c r="L21" s="58"/>
      <c r="M21" s="58"/>
      <c r="N21" s="58"/>
      <c r="O21" s="58"/>
      <c r="P21" s="15"/>
    </row>
    <row r="22" spans="1:17" x14ac:dyDescent="0.3">
      <c r="A22" s="22">
        <v>5000</v>
      </c>
      <c r="B22" s="43" t="s">
        <v>131</v>
      </c>
      <c r="C22" s="14">
        <f t="shared" ref="C22:C34" si="8">P22/$P$8</f>
        <v>0.40619448425432264</v>
      </c>
      <c r="D22" s="15">
        <f>'Areal - forutsetn.'!G39+'Areal - forutsetn.'!G40</f>
        <v>965582.81593406585</v>
      </c>
      <c r="E22" s="15">
        <f>'Areal - forutsetn.'!H39+'Areal - forutsetn.'!H40</f>
        <v>961510.38461538462</v>
      </c>
      <c r="F22" s="15">
        <f>'Areal - forutsetn.'!I39+'Areal - forutsetn.'!I40</f>
        <v>1057661.423076923</v>
      </c>
      <c r="G22" s="15">
        <f>'Areal - forutsetn.'!J39+'Areal - forutsetn.'!J40</f>
        <v>992981.67505940935</v>
      </c>
      <c r="H22" s="15">
        <f>'Areal - forutsetn.'!K39+'Areal - forutsetn.'!K40</f>
        <v>1140071.1791538461</v>
      </c>
      <c r="I22" s="15">
        <f>'Areal - forutsetn.'!L39+'Areal - forutsetn.'!L40</f>
        <v>1085766.729778846</v>
      </c>
      <c r="J22" s="15">
        <f>'Areal - forutsetn.'!M39+'Areal - forutsetn.'!M40</f>
        <v>542874.88442307687</v>
      </c>
      <c r="K22" s="15">
        <f>'Areal - forutsetn.'!N39+'Areal - forutsetn.'!N40</f>
        <v>868599.81507692311</v>
      </c>
      <c r="L22" s="15">
        <f>'Areal - forutsetn.'!O39+'Areal - forutsetn.'!O40</f>
        <v>1160103.7457307691</v>
      </c>
      <c r="M22" s="15">
        <f>'Areal - forutsetn.'!P39+'Areal - forutsetn.'!P40</f>
        <v>1062573.895730769</v>
      </c>
      <c r="N22" s="15">
        <f>'Areal - forutsetn.'!Q39+'Areal - forutsetn.'!Q40</f>
        <v>1014275.0822884615</v>
      </c>
      <c r="O22" s="15">
        <f>'Areal - forutsetn.'!R39+'Areal - forutsetn.'!R40</f>
        <v>964224.12629670324</v>
      </c>
      <c r="P22" s="15">
        <f>SUM(D22:O22)</f>
        <v>11816225.757165177</v>
      </c>
    </row>
    <row r="23" spans="1:17" x14ac:dyDescent="0.3">
      <c r="A23" s="22">
        <v>5001</v>
      </c>
      <c r="B23" s="43" t="s">
        <v>205</v>
      </c>
      <c r="C23" s="14">
        <f t="shared" si="8"/>
        <v>4.0619448425432258E-3</v>
      </c>
      <c r="D23" s="15">
        <f>D22*1%</f>
        <v>9655.8281593406591</v>
      </c>
      <c r="E23" s="15">
        <f t="shared" ref="E23:O23" si="9">E22*1%</f>
        <v>9615.1038461538465</v>
      </c>
      <c r="F23" s="15">
        <f t="shared" si="9"/>
        <v>10576.61423076923</v>
      </c>
      <c r="G23" s="15">
        <f t="shared" si="9"/>
        <v>9929.8167505940928</v>
      </c>
      <c r="H23" s="15">
        <f t="shared" si="9"/>
        <v>11400.711791538461</v>
      </c>
      <c r="I23" s="15">
        <f t="shared" si="9"/>
        <v>10857.667297788461</v>
      </c>
      <c r="J23" s="15">
        <f t="shared" si="9"/>
        <v>5428.7488442307686</v>
      </c>
      <c r="K23" s="15">
        <f t="shared" si="9"/>
        <v>8685.9981507692319</v>
      </c>
      <c r="L23" s="15">
        <f t="shared" si="9"/>
        <v>11601.037457307692</v>
      </c>
      <c r="M23" s="15">
        <f t="shared" si="9"/>
        <v>10625.738957307691</v>
      </c>
      <c r="N23" s="15">
        <f t="shared" si="9"/>
        <v>10142.750822884615</v>
      </c>
      <c r="O23" s="15">
        <f t="shared" si="9"/>
        <v>9642.2412629670325</v>
      </c>
      <c r="P23" s="15">
        <f>SUM(D23:O23)</f>
        <v>118162.25757165176</v>
      </c>
    </row>
    <row r="24" spans="1:17" x14ac:dyDescent="0.3">
      <c r="A24" s="22">
        <v>5090</v>
      </c>
      <c r="B24" s="43" t="s">
        <v>132</v>
      </c>
      <c r="C24" s="14">
        <f t="shared" si="8"/>
        <v>4.9230771491623901E-2</v>
      </c>
      <c r="D24" s="15">
        <f>(D22+D23)*12%</f>
        <v>117028.63729120878</v>
      </c>
      <c r="E24" s="15">
        <f>(E22+E23)*12%</f>
        <v>116535.05861538461</v>
      </c>
      <c r="F24" s="15">
        <f t="shared" ref="F24:O24" si="10">(F22+F23)*12%</f>
        <v>128188.56447692306</v>
      </c>
      <c r="G24" s="15">
        <f t="shared" si="10"/>
        <v>120349.37901720041</v>
      </c>
      <c r="H24" s="15">
        <f t="shared" si="10"/>
        <v>138176.62691344615</v>
      </c>
      <c r="I24" s="15">
        <f t="shared" si="10"/>
        <v>131594.92764919612</v>
      </c>
      <c r="J24" s="15">
        <f t="shared" si="10"/>
        <v>65796.43599207692</v>
      </c>
      <c r="K24" s="15">
        <f t="shared" si="10"/>
        <v>105274.29758732308</v>
      </c>
      <c r="L24" s="15">
        <f t="shared" si="10"/>
        <v>140604.57398256921</v>
      </c>
      <c r="M24" s="15">
        <f t="shared" si="10"/>
        <v>128783.95616256921</v>
      </c>
      <c r="N24" s="15">
        <f t="shared" si="10"/>
        <v>122930.13997336153</v>
      </c>
      <c r="O24" s="15">
        <f t="shared" si="10"/>
        <v>116863.96410716043</v>
      </c>
      <c r="P24" s="15">
        <f>SUM(D24:O24)</f>
        <v>1432126.5617684193</v>
      </c>
    </row>
    <row r="25" spans="1:17" x14ac:dyDescent="0.3">
      <c r="A25" s="22">
        <v>5182</v>
      </c>
      <c r="B25" s="21" t="s">
        <v>24</v>
      </c>
      <c r="C25" s="14">
        <f t="shared" si="8"/>
        <v>3.8892309478382888E-3</v>
      </c>
      <c r="D25" s="15">
        <f t="shared" ref="D25:O25" si="11">SUM(D24*7.9%)</f>
        <v>9245.2623460054947</v>
      </c>
      <c r="E25" s="15">
        <f t="shared" si="11"/>
        <v>9206.2696306153848</v>
      </c>
      <c r="F25" s="15">
        <f t="shared" si="11"/>
        <v>10126.896593676922</v>
      </c>
      <c r="G25" s="15">
        <f t="shared" si="11"/>
        <v>9507.600942358833</v>
      </c>
      <c r="H25" s="15">
        <f t="shared" si="11"/>
        <v>10915.953526162246</v>
      </c>
      <c r="I25" s="15">
        <f t="shared" si="11"/>
        <v>10395.999284286494</v>
      </c>
      <c r="J25" s="15">
        <f t="shared" si="11"/>
        <v>5197.9184433740766</v>
      </c>
      <c r="K25" s="15">
        <f t="shared" si="11"/>
        <v>8316.6695093985236</v>
      </c>
      <c r="L25" s="15">
        <f t="shared" si="11"/>
        <v>11107.761344622968</v>
      </c>
      <c r="M25" s="15">
        <f t="shared" si="11"/>
        <v>10173.932536842967</v>
      </c>
      <c r="N25" s="15">
        <f t="shared" si="11"/>
        <v>9711.4810578955603</v>
      </c>
      <c r="O25" s="15">
        <f t="shared" si="11"/>
        <v>9232.2531644656738</v>
      </c>
      <c r="P25" s="15">
        <f>SUM(D25:O25)</f>
        <v>113137.99837970514</v>
      </c>
    </row>
    <row r="26" spans="1:17" ht="12" customHeight="1" x14ac:dyDescent="0.3">
      <c r="A26" s="22">
        <v>5400</v>
      </c>
      <c r="B26" s="21" t="s">
        <v>7</v>
      </c>
      <c r="C26" s="14">
        <f t="shared" si="8"/>
        <v>3.2410257898652414E-2</v>
      </c>
      <c r="D26" s="15">
        <f>(D22+D23)*7.9%</f>
        <v>77043.852883379121</v>
      </c>
      <c r="E26" s="15">
        <f t="shared" ref="E26:O26" si="12">(E22+E23)*7.9%</f>
        <v>76718.913588461539</v>
      </c>
      <c r="F26" s="15">
        <f t="shared" si="12"/>
        <v>84390.804947307683</v>
      </c>
      <c r="G26" s="15">
        <f t="shared" si="12"/>
        <v>79230.007852990268</v>
      </c>
      <c r="H26" s="15">
        <f t="shared" si="12"/>
        <v>90966.279384685375</v>
      </c>
      <c r="I26" s="15">
        <f t="shared" si="12"/>
        <v>86633.327369054125</v>
      </c>
      <c r="J26" s="15">
        <f t="shared" si="12"/>
        <v>43315.987028117306</v>
      </c>
      <c r="K26" s="15">
        <f t="shared" si="12"/>
        <v>69305.579244987704</v>
      </c>
      <c r="L26" s="15">
        <f t="shared" si="12"/>
        <v>92564.677871858075</v>
      </c>
      <c r="M26" s="15">
        <f t="shared" si="12"/>
        <v>84782.771140358062</v>
      </c>
      <c r="N26" s="15">
        <f t="shared" si="12"/>
        <v>80929.008815796347</v>
      </c>
      <c r="O26" s="15">
        <f t="shared" si="12"/>
        <v>76935.443037213947</v>
      </c>
      <c r="P26" s="15">
        <f>SUM(D26:O26)</f>
        <v>942816.65316420968</v>
      </c>
    </row>
    <row r="27" spans="1:17" x14ac:dyDescent="0.3">
      <c r="B27" s="20" t="s">
        <v>208</v>
      </c>
      <c r="C27" s="53">
        <f>P27/$P$8</f>
        <v>0.49578668943498055</v>
      </c>
      <c r="D27" s="17">
        <f t="shared" ref="D27:P27" si="13">SUM(D22:D26)</f>
        <v>1178556.396614</v>
      </c>
      <c r="E27" s="17">
        <f t="shared" si="13"/>
        <v>1173585.7302959999</v>
      </c>
      <c r="F27" s="17">
        <f t="shared" si="13"/>
        <v>1290944.3033256</v>
      </c>
      <c r="G27" s="17">
        <f t="shared" si="13"/>
        <v>1211998.4796225529</v>
      </c>
      <c r="H27" s="17">
        <f t="shared" si="13"/>
        <v>1391530.7507696785</v>
      </c>
      <c r="I27" s="17">
        <f t="shared" si="13"/>
        <v>1325248.6513791711</v>
      </c>
      <c r="J27" s="17">
        <f t="shared" si="13"/>
        <v>662613.97473087593</v>
      </c>
      <c r="K27" s="17">
        <f t="shared" si="13"/>
        <v>1060182.3595694017</v>
      </c>
      <c r="L27" s="17">
        <f t="shared" si="13"/>
        <v>1415981.7963871271</v>
      </c>
      <c r="M27" s="17">
        <f t="shared" si="13"/>
        <v>1296940.2945278469</v>
      </c>
      <c r="N27" s="17">
        <f t="shared" si="13"/>
        <v>1237988.4629583997</v>
      </c>
      <c r="O27" s="17">
        <f t="shared" si="13"/>
        <v>1176898.0278685105</v>
      </c>
      <c r="P27" s="17">
        <f t="shared" si="13"/>
        <v>14422469.228049165</v>
      </c>
      <c r="Q27" s="124">
        <f>P27/$P$8</f>
        <v>0.49578668943498055</v>
      </c>
    </row>
    <row r="28" spans="1:17" x14ac:dyDescent="0.3">
      <c r="B28" s="23"/>
      <c r="C28" s="5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4"/>
    </row>
    <row r="29" spans="1:17" ht="12" customHeight="1" x14ac:dyDescent="0.3">
      <c r="A29" s="23" t="s">
        <v>209</v>
      </c>
      <c r="B29" s="21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7" s="7" customFormat="1" x14ac:dyDescent="0.3">
      <c r="A30" s="22">
        <v>5920</v>
      </c>
      <c r="B30" s="21" t="s">
        <v>55</v>
      </c>
      <c r="C30" s="14">
        <f t="shared" si="8"/>
        <v>1.2375357185680422E-3</v>
      </c>
      <c r="D30" s="15">
        <v>3000</v>
      </c>
      <c r="E30" s="15">
        <f>D30</f>
        <v>3000</v>
      </c>
      <c r="F30" s="15">
        <f t="shared" ref="F30:O30" si="14">E30</f>
        <v>3000</v>
      </c>
      <c r="G30" s="15">
        <f t="shared" si="14"/>
        <v>3000</v>
      </c>
      <c r="H30" s="15">
        <f t="shared" si="14"/>
        <v>3000</v>
      </c>
      <c r="I30" s="15">
        <f t="shared" si="14"/>
        <v>3000</v>
      </c>
      <c r="J30" s="15">
        <f t="shared" si="14"/>
        <v>3000</v>
      </c>
      <c r="K30" s="15">
        <f t="shared" si="14"/>
        <v>3000</v>
      </c>
      <c r="L30" s="15">
        <f t="shared" si="14"/>
        <v>3000</v>
      </c>
      <c r="M30" s="15">
        <f t="shared" si="14"/>
        <v>3000</v>
      </c>
      <c r="N30" s="15">
        <f t="shared" si="14"/>
        <v>3000</v>
      </c>
      <c r="O30" s="15">
        <f t="shared" si="14"/>
        <v>3000</v>
      </c>
      <c r="P30" s="15">
        <f>SUM(D30:O30)</f>
        <v>36000</v>
      </c>
      <c r="Q30" s="121"/>
    </row>
    <row r="31" spans="1:17" x14ac:dyDescent="0.3">
      <c r="A31" s="22">
        <v>5945</v>
      </c>
      <c r="B31" s="43" t="s">
        <v>133</v>
      </c>
      <c r="C31" s="14">
        <f t="shared" si="8"/>
        <v>1.3810612464646972E-2</v>
      </c>
      <c r="D31" s="15">
        <f>SUM(D22*3.4/100)</f>
        <v>32829.815741758241</v>
      </c>
      <c r="E31" s="15">
        <f t="shared" ref="E31:O31" si="15">SUM(E22*3.4/100)</f>
        <v>32691.353076923075</v>
      </c>
      <c r="F31" s="15">
        <f t="shared" si="15"/>
        <v>35960.488384615383</v>
      </c>
      <c r="G31" s="15">
        <f t="shared" si="15"/>
        <v>33761.376952019913</v>
      </c>
      <c r="H31" s="15">
        <f t="shared" si="15"/>
        <v>38762.420091230764</v>
      </c>
      <c r="I31" s="15">
        <f t="shared" si="15"/>
        <v>36916.068812480764</v>
      </c>
      <c r="J31" s="15">
        <f t="shared" si="15"/>
        <v>18457.746070384615</v>
      </c>
      <c r="K31" s="15">
        <f t="shared" si="15"/>
        <v>29532.393712615383</v>
      </c>
      <c r="L31" s="15">
        <f t="shared" si="15"/>
        <v>39443.527354846148</v>
      </c>
      <c r="M31" s="15">
        <f t="shared" si="15"/>
        <v>36127.512454846146</v>
      </c>
      <c r="N31" s="15">
        <f t="shared" si="15"/>
        <v>34485.352797807689</v>
      </c>
      <c r="O31" s="15">
        <f t="shared" si="15"/>
        <v>32783.620294087908</v>
      </c>
      <c r="P31" s="15">
        <f>SUM(D31:O31)</f>
        <v>401751.67574361607</v>
      </c>
    </row>
    <row r="32" spans="1:17" x14ac:dyDescent="0.3">
      <c r="A32" s="22">
        <v>5950</v>
      </c>
      <c r="B32" s="43" t="s">
        <v>206</v>
      </c>
      <c r="C32" s="14">
        <f t="shared" si="8"/>
        <v>4.9501428742721688E-3</v>
      </c>
      <c r="D32" s="15">
        <v>12000</v>
      </c>
      <c r="E32" s="15">
        <f t="shared" ref="E32:O33" si="16">D32</f>
        <v>12000</v>
      </c>
      <c r="F32" s="15">
        <f t="shared" si="16"/>
        <v>12000</v>
      </c>
      <c r="G32" s="15">
        <f t="shared" si="16"/>
        <v>12000</v>
      </c>
      <c r="H32" s="15">
        <f t="shared" si="16"/>
        <v>12000</v>
      </c>
      <c r="I32" s="15">
        <f t="shared" si="16"/>
        <v>12000</v>
      </c>
      <c r="J32" s="15">
        <f t="shared" si="16"/>
        <v>12000</v>
      </c>
      <c r="K32" s="15">
        <f t="shared" si="16"/>
        <v>12000</v>
      </c>
      <c r="L32" s="15">
        <f t="shared" si="16"/>
        <v>12000</v>
      </c>
      <c r="M32" s="15">
        <f t="shared" si="16"/>
        <v>12000</v>
      </c>
      <c r="N32" s="15">
        <f t="shared" si="16"/>
        <v>12000</v>
      </c>
      <c r="O32" s="15">
        <f t="shared" si="16"/>
        <v>12000</v>
      </c>
      <c r="P32" s="15">
        <f>SUM(D32:O32)</f>
        <v>144000</v>
      </c>
    </row>
    <row r="33" spans="1:17" x14ac:dyDescent="0.3">
      <c r="A33" s="22">
        <v>5960</v>
      </c>
      <c r="B33" s="43" t="s">
        <v>379</v>
      </c>
      <c r="C33" s="14">
        <f t="shared" si="8"/>
        <v>8.2502381237869473E-4</v>
      </c>
      <c r="D33" s="15">
        <v>2000</v>
      </c>
      <c r="E33" s="15">
        <f>D33</f>
        <v>2000</v>
      </c>
      <c r="F33" s="15">
        <f t="shared" si="16"/>
        <v>2000</v>
      </c>
      <c r="G33" s="15">
        <f t="shared" si="16"/>
        <v>2000</v>
      </c>
      <c r="H33" s="15">
        <f t="shared" si="16"/>
        <v>2000</v>
      </c>
      <c r="I33" s="15">
        <f t="shared" si="16"/>
        <v>2000</v>
      </c>
      <c r="J33" s="15">
        <f t="shared" si="16"/>
        <v>2000</v>
      </c>
      <c r="K33" s="15">
        <f t="shared" si="16"/>
        <v>2000</v>
      </c>
      <c r="L33" s="15">
        <f t="shared" si="16"/>
        <v>2000</v>
      </c>
      <c r="M33" s="15">
        <f t="shared" si="16"/>
        <v>2000</v>
      </c>
      <c r="N33" s="15">
        <f t="shared" si="16"/>
        <v>2000</v>
      </c>
      <c r="O33" s="15">
        <f t="shared" si="16"/>
        <v>2000</v>
      </c>
      <c r="P33" s="15">
        <f>SUM(D33:O33)</f>
        <v>24000</v>
      </c>
    </row>
    <row r="34" spans="1:17" x14ac:dyDescent="0.3">
      <c r="A34" s="22">
        <v>5990</v>
      </c>
      <c r="B34" s="43" t="s">
        <v>134</v>
      </c>
      <c r="C34" s="14">
        <f t="shared" si="8"/>
        <v>6.1876785928402104E-3</v>
      </c>
      <c r="D34" s="15">
        <v>15000</v>
      </c>
      <c r="E34" s="15">
        <f t="shared" ref="E34:O34" si="17">D34</f>
        <v>15000</v>
      </c>
      <c r="F34" s="15">
        <f t="shared" si="17"/>
        <v>15000</v>
      </c>
      <c r="G34" s="15">
        <f t="shared" si="17"/>
        <v>15000</v>
      </c>
      <c r="H34" s="15">
        <f t="shared" si="17"/>
        <v>15000</v>
      </c>
      <c r="I34" s="15">
        <f t="shared" si="17"/>
        <v>15000</v>
      </c>
      <c r="J34" s="15">
        <f t="shared" si="17"/>
        <v>15000</v>
      </c>
      <c r="K34" s="15">
        <f t="shared" si="17"/>
        <v>15000</v>
      </c>
      <c r="L34" s="15">
        <f t="shared" si="17"/>
        <v>15000</v>
      </c>
      <c r="M34" s="15">
        <f t="shared" si="17"/>
        <v>15000</v>
      </c>
      <c r="N34" s="15">
        <f t="shared" si="17"/>
        <v>15000</v>
      </c>
      <c r="O34" s="15">
        <f t="shared" si="17"/>
        <v>15000</v>
      </c>
      <c r="P34" s="15">
        <f>SUM(D34:O34)</f>
        <v>180000</v>
      </c>
    </row>
    <row r="35" spans="1:17" x14ac:dyDescent="0.3">
      <c r="A35" s="23"/>
      <c r="B35" s="20" t="s">
        <v>210</v>
      </c>
      <c r="C35" s="56">
        <f>P35/$P$8</f>
        <v>2.7010993462706089E-2</v>
      </c>
      <c r="D35" s="17">
        <f>SUM(D30:D34)</f>
        <v>64829.815741758241</v>
      </c>
      <c r="E35" s="17">
        <f t="shared" ref="E35:O35" si="18">SUM(E30:E34)</f>
        <v>64691.353076923071</v>
      </c>
      <c r="F35" s="17">
        <f t="shared" si="18"/>
        <v>67960.488384615383</v>
      </c>
      <c r="G35" s="17">
        <f t="shared" si="18"/>
        <v>65761.376952019913</v>
      </c>
      <c r="H35" s="17">
        <f t="shared" si="18"/>
        <v>70762.420091230772</v>
      </c>
      <c r="I35" s="17">
        <f t="shared" si="18"/>
        <v>68916.068812480764</v>
      </c>
      <c r="J35" s="17">
        <f t="shared" si="18"/>
        <v>50457.746070384615</v>
      </c>
      <c r="K35" s="17">
        <f t="shared" si="18"/>
        <v>61532.393712615383</v>
      </c>
      <c r="L35" s="17">
        <f t="shared" si="18"/>
        <v>71443.527354846156</v>
      </c>
      <c r="M35" s="17">
        <f t="shared" si="18"/>
        <v>68127.512454846146</v>
      </c>
      <c r="N35" s="17">
        <f t="shared" si="18"/>
        <v>66485.352797807689</v>
      </c>
      <c r="O35" s="17">
        <f t="shared" si="18"/>
        <v>64783.620294087908</v>
      </c>
      <c r="P35" s="17">
        <f>SUM(P30:P34)</f>
        <v>785751.67574361607</v>
      </c>
      <c r="Q35" s="124"/>
    </row>
    <row r="36" spans="1:17" x14ac:dyDescent="0.3">
      <c r="A36" s="23"/>
      <c r="B36" s="23"/>
      <c r="C36" s="1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4"/>
    </row>
    <row r="37" spans="1:17" x14ac:dyDescent="0.3">
      <c r="A37" s="23"/>
      <c r="B37" s="23" t="s">
        <v>211</v>
      </c>
      <c r="C37" s="18"/>
      <c r="D37" s="16">
        <f>D27+D35</f>
        <v>1243386.2123557583</v>
      </c>
      <c r="E37" s="16">
        <f>E27+E35</f>
        <v>1238277.0833729231</v>
      </c>
      <c r="F37" s="16">
        <f>F27+F35</f>
        <v>1358904.7917102154</v>
      </c>
      <c r="G37" s="16">
        <f>G27+G35</f>
        <v>1277759.8565745729</v>
      </c>
      <c r="H37" s="16">
        <f t="shared" ref="H37:P37" si="19">H27+H35</f>
        <v>1462293.1708609094</v>
      </c>
      <c r="I37" s="16">
        <f t="shared" si="19"/>
        <v>1394164.7201916517</v>
      </c>
      <c r="J37" s="16">
        <f t="shared" si="19"/>
        <v>713071.72080126056</v>
      </c>
      <c r="K37" s="16">
        <f t="shared" si="19"/>
        <v>1121714.7532820171</v>
      </c>
      <c r="L37" s="16">
        <f t="shared" si="19"/>
        <v>1487425.3237419734</v>
      </c>
      <c r="M37" s="16">
        <f t="shared" si="19"/>
        <v>1365067.806982693</v>
      </c>
      <c r="N37" s="16">
        <f t="shared" si="19"/>
        <v>1304473.8157562073</v>
      </c>
      <c r="O37" s="16">
        <f t="shared" si="19"/>
        <v>1241681.6481625983</v>
      </c>
      <c r="P37" s="16">
        <f t="shared" si="19"/>
        <v>15208220.90379278</v>
      </c>
      <c r="Q37" s="124">
        <f>P37/$P$8</f>
        <v>0.52279768289768658</v>
      </c>
    </row>
    <row r="38" spans="1:17" x14ac:dyDescent="0.3">
      <c r="A38" s="23"/>
      <c r="B38" s="23"/>
      <c r="C38" s="18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4"/>
    </row>
    <row r="39" spans="1:17" x14ac:dyDescent="0.3">
      <c r="A39" s="23" t="s">
        <v>244</v>
      </c>
      <c r="B39" s="21"/>
      <c r="C39" s="18">
        <f>P39/$P$8</f>
        <v>0.19109940157314781</v>
      </c>
      <c r="D39" s="16">
        <f t="shared" ref="D39:O39" si="20">D19-D37</f>
        <v>567908.89295333275</v>
      </c>
      <c r="E39" s="16">
        <f t="shared" si="20"/>
        <v>603121.35743616754</v>
      </c>
      <c r="F39" s="16">
        <f t="shared" si="20"/>
        <v>572040.7609988756</v>
      </c>
      <c r="G39" s="16">
        <f t="shared" si="20"/>
        <v>205450.13663451793</v>
      </c>
      <c r="H39" s="16">
        <f t="shared" si="20"/>
        <v>424737.6961481818</v>
      </c>
      <c r="I39" s="16">
        <f t="shared" si="20"/>
        <v>492866.14681743947</v>
      </c>
      <c r="J39" s="16">
        <f t="shared" si="20"/>
        <v>252111.98910783033</v>
      </c>
      <c r="K39" s="16">
        <f t="shared" si="20"/>
        <v>539975.69754707348</v>
      </c>
      <c r="L39" s="16">
        <f t="shared" si="20"/>
        <v>720379.44205711735</v>
      </c>
      <c r="M39" s="16">
        <f t="shared" si="20"/>
        <v>565200.87381639727</v>
      </c>
      <c r="N39" s="16">
        <f t="shared" si="20"/>
        <v>357245.83005788317</v>
      </c>
      <c r="O39" s="16">
        <f t="shared" si="20"/>
        <v>258056.04004149255</v>
      </c>
      <c r="P39" s="16">
        <f>SUM(D39:O39)</f>
        <v>5559094.8636163091</v>
      </c>
      <c r="Q39" s="124">
        <f>P39/$P$8</f>
        <v>0.19109940157314781</v>
      </c>
    </row>
    <row r="40" spans="1:17" x14ac:dyDescent="0.3">
      <c r="A40" s="22"/>
      <c r="B40" s="21"/>
      <c r="C40" s="14"/>
      <c r="D40" s="15"/>
      <c r="E40" s="15"/>
      <c r="F40" s="71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7" x14ac:dyDescent="0.3">
      <c r="A41" s="23" t="s">
        <v>9</v>
      </c>
      <c r="B41" s="21"/>
      <c r="C41" s="14"/>
      <c r="D41" s="15"/>
      <c r="E41" s="15"/>
      <c r="F41" s="71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7" x14ac:dyDescent="0.3">
      <c r="A42" s="22">
        <v>6000</v>
      </c>
      <c r="B42" s="43" t="s">
        <v>21</v>
      </c>
      <c r="C42" s="14">
        <f>P42/$P$8</f>
        <v>7.2189583583135795E-3</v>
      </c>
      <c r="D42" s="15">
        <v>17500</v>
      </c>
      <c r="E42" s="15">
        <f>D42</f>
        <v>17500</v>
      </c>
      <c r="F42" s="15">
        <f>E42</f>
        <v>17500</v>
      </c>
      <c r="G42" s="15">
        <f>F42</f>
        <v>17500</v>
      </c>
      <c r="H42" s="15">
        <f>G42</f>
        <v>17500</v>
      </c>
      <c r="I42" s="15">
        <f>H42</f>
        <v>17500</v>
      </c>
      <c r="J42" s="15">
        <f t="shared" ref="J42:O42" si="21">I42</f>
        <v>17500</v>
      </c>
      <c r="K42" s="15">
        <f t="shared" si="21"/>
        <v>17500</v>
      </c>
      <c r="L42" s="15">
        <f t="shared" si="21"/>
        <v>17500</v>
      </c>
      <c r="M42" s="15">
        <f t="shared" si="21"/>
        <v>17500</v>
      </c>
      <c r="N42" s="15">
        <f t="shared" si="21"/>
        <v>17500</v>
      </c>
      <c r="O42" s="15">
        <f t="shared" si="21"/>
        <v>17500</v>
      </c>
      <c r="P42" s="15">
        <f>SUM(D42:O42)</f>
        <v>210000</v>
      </c>
    </row>
    <row r="43" spans="1:17" x14ac:dyDescent="0.3">
      <c r="A43" s="23"/>
      <c r="B43" s="20" t="s">
        <v>37</v>
      </c>
      <c r="C43" s="26">
        <f>P43/$P$8</f>
        <v>7.2189583583135795E-3</v>
      </c>
      <c r="D43" s="17">
        <f t="shared" ref="D43:P43" si="22">SUM(D42:D42)</f>
        <v>17500</v>
      </c>
      <c r="E43" s="17">
        <f t="shared" si="22"/>
        <v>17500</v>
      </c>
      <c r="F43" s="17">
        <f t="shared" si="22"/>
        <v>17500</v>
      </c>
      <c r="G43" s="17">
        <f t="shared" si="22"/>
        <v>17500</v>
      </c>
      <c r="H43" s="17">
        <f t="shared" si="22"/>
        <v>17500</v>
      </c>
      <c r="I43" s="17">
        <f t="shared" si="22"/>
        <v>17500</v>
      </c>
      <c r="J43" s="17">
        <f t="shared" si="22"/>
        <v>17500</v>
      </c>
      <c r="K43" s="17">
        <f t="shared" si="22"/>
        <v>17500</v>
      </c>
      <c r="L43" s="17">
        <f t="shared" si="22"/>
        <v>17500</v>
      </c>
      <c r="M43" s="17">
        <f t="shared" si="22"/>
        <v>17500</v>
      </c>
      <c r="N43" s="17">
        <f t="shared" si="22"/>
        <v>17500</v>
      </c>
      <c r="O43" s="17">
        <f t="shared" si="22"/>
        <v>17500</v>
      </c>
      <c r="P43" s="17">
        <f t="shared" si="22"/>
        <v>210000</v>
      </c>
    </row>
    <row r="44" spans="1:17" x14ac:dyDescent="0.3">
      <c r="A44" s="22"/>
      <c r="B44" s="21"/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7" x14ac:dyDescent="0.3">
      <c r="A45" s="23" t="s">
        <v>10</v>
      </c>
      <c r="B45" s="21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7" s="7" customFormat="1" x14ac:dyDescent="0.3">
      <c r="A46" s="22">
        <v>6300</v>
      </c>
      <c r="B46" s="21" t="s">
        <v>18</v>
      </c>
      <c r="C46" s="14">
        <f t="shared" ref="C46:C52" si="23">P46/$P$8</f>
        <v>1.2222562775627886E-2</v>
      </c>
      <c r="D46" s="15">
        <f>26936*1.1</f>
        <v>29629.600000000002</v>
      </c>
      <c r="E46" s="15">
        <f t="shared" ref="E46:E51" si="24">D46</f>
        <v>29629.600000000002</v>
      </c>
      <c r="F46" s="15">
        <f t="shared" ref="F46:O46" si="25">E46</f>
        <v>29629.600000000002</v>
      </c>
      <c r="G46" s="15">
        <f t="shared" si="25"/>
        <v>29629.600000000002</v>
      </c>
      <c r="H46" s="15">
        <f t="shared" si="25"/>
        <v>29629.600000000002</v>
      </c>
      <c r="I46" s="15">
        <f t="shared" si="25"/>
        <v>29629.600000000002</v>
      </c>
      <c r="J46" s="15">
        <f t="shared" si="25"/>
        <v>29629.600000000002</v>
      </c>
      <c r="K46" s="15">
        <f t="shared" si="25"/>
        <v>29629.600000000002</v>
      </c>
      <c r="L46" s="15">
        <f t="shared" si="25"/>
        <v>29629.600000000002</v>
      </c>
      <c r="M46" s="15">
        <f t="shared" si="25"/>
        <v>29629.600000000002</v>
      </c>
      <c r="N46" s="15">
        <f t="shared" si="25"/>
        <v>29629.600000000002</v>
      </c>
      <c r="O46" s="15">
        <f t="shared" si="25"/>
        <v>29629.600000000002</v>
      </c>
      <c r="P46" s="15">
        <f t="shared" ref="P46:P51" si="26">SUM(D46:O46)</f>
        <v>355555.19999999995</v>
      </c>
      <c r="Q46" s="121"/>
    </row>
    <row r="47" spans="1:17" s="7" customFormat="1" x14ac:dyDescent="0.3">
      <c r="A47" s="22">
        <v>6301</v>
      </c>
      <c r="B47" s="43" t="s">
        <v>373</v>
      </c>
      <c r="C47" s="14">
        <f t="shared" si="23"/>
        <v>4.1044934665840065E-3</v>
      </c>
      <c r="D47" s="15">
        <f>29850/3</f>
        <v>9950</v>
      </c>
      <c r="E47" s="15">
        <f t="shared" si="24"/>
        <v>9950</v>
      </c>
      <c r="F47" s="15">
        <f t="shared" ref="F47" si="27">E47</f>
        <v>9950</v>
      </c>
      <c r="G47" s="15">
        <f t="shared" ref="G47" si="28">F47</f>
        <v>9950</v>
      </c>
      <c r="H47" s="15">
        <f t="shared" ref="H47" si="29">G47</f>
        <v>9950</v>
      </c>
      <c r="I47" s="15">
        <f t="shared" ref="I47" si="30">H47</f>
        <v>9950</v>
      </c>
      <c r="J47" s="15">
        <f t="shared" ref="J47" si="31">I47</f>
        <v>9950</v>
      </c>
      <c r="K47" s="15">
        <f t="shared" ref="K47" si="32">J47</f>
        <v>9950</v>
      </c>
      <c r="L47" s="15">
        <f t="shared" ref="L47" si="33">K47</f>
        <v>9950</v>
      </c>
      <c r="M47" s="15">
        <f t="shared" ref="M47" si="34">L47</f>
        <v>9950</v>
      </c>
      <c r="N47" s="15">
        <f t="shared" ref="N47" si="35">M47</f>
        <v>9950</v>
      </c>
      <c r="O47" s="15">
        <f t="shared" ref="O47" si="36">N47</f>
        <v>9950</v>
      </c>
      <c r="P47" s="15">
        <f t="shared" si="26"/>
        <v>119400</v>
      </c>
      <c r="Q47" s="121"/>
    </row>
    <row r="48" spans="1:17" ht="12" customHeight="1" x14ac:dyDescent="0.3">
      <c r="A48" s="22">
        <v>6340</v>
      </c>
      <c r="B48" s="43" t="s">
        <v>135</v>
      </c>
      <c r="C48" s="14">
        <f t="shared" si="23"/>
        <v>1.113782146711238E-3</v>
      </c>
      <c r="D48" s="46">
        <f>1800+900</f>
        <v>2700</v>
      </c>
      <c r="E48" s="15">
        <f t="shared" si="24"/>
        <v>2700</v>
      </c>
      <c r="F48" s="15">
        <f t="shared" ref="F48:O51" si="37">E48</f>
        <v>2700</v>
      </c>
      <c r="G48" s="15">
        <f t="shared" si="37"/>
        <v>2700</v>
      </c>
      <c r="H48" s="15">
        <f t="shared" si="37"/>
        <v>2700</v>
      </c>
      <c r="I48" s="15">
        <f t="shared" si="37"/>
        <v>2700</v>
      </c>
      <c r="J48" s="15">
        <f t="shared" si="37"/>
        <v>2700</v>
      </c>
      <c r="K48" s="15">
        <f t="shared" si="37"/>
        <v>2700</v>
      </c>
      <c r="L48" s="15">
        <f t="shared" si="37"/>
        <v>2700</v>
      </c>
      <c r="M48" s="15">
        <f t="shared" si="37"/>
        <v>2700</v>
      </c>
      <c r="N48" s="15">
        <f t="shared" si="37"/>
        <v>2700</v>
      </c>
      <c r="O48" s="15">
        <f t="shared" si="37"/>
        <v>2700</v>
      </c>
      <c r="P48" s="15">
        <f t="shared" si="26"/>
        <v>32400</v>
      </c>
    </row>
    <row r="49" spans="1:17" x14ac:dyDescent="0.3">
      <c r="A49" s="22">
        <v>6360</v>
      </c>
      <c r="B49" s="21" t="s">
        <v>11</v>
      </c>
      <c r="C49" s="14">
        <f t="shared" si="23"/>
        <v>5.6307875194845918E-4</v>
      </c>
      <c r="D49" s="15">
        <v>1365</v>
      </c>
      <c r="E49" s="15">
        <f t="shared" si="24"/>
        <v>1365</v>
      </c>
      <c r="F49" s="15">
        <f t="shared" si="37"/>
        <v>1365</v>
      </c>
      <c r="G49" s="15">
        <f t="shared" si="37"/>
        <v>1365</v>
      </c>
      <c r="H49" s="15">
        <f t="shared" si="37"/>
        <v>1365</v>
      </c>
      <c r="I49" s="15">
        <f t="shared" si="37"/>
        <v>1365</v>
      </c>
      <c r="J49" s="15">
        <f t="shared" si="37"/>
        <v>1365</v>
      </c>
      <c r="K49" s="15">
        <f t="shared" si="37"/>
        <v>1365</v>
      </c>
      <c r="L49" s="15">
        <f t="shared" si="37"/>
        <v>1365</v>
      </c>
      <c r="M49" s="15">
        <f t="shared" si="37"/>
        <v>1365</v>
      </c>
      <c r="N49" s="15">
        <f t="shared" si="37"/>
        <v>1365</v>
      </c>
      <c r="O49" s="15">
        <f t="shared" si="37"/>
        <v>1365</v>
      </c>
      <c r="P49" s="15">
        <f t="shared" si="26"/>
        <v>16380</v>
      </c>
      <c r="Q49" s="122"/>
    </row>
    <row r="50" spans="1:17" x14ac:dyDescent="0.3">
      <c r="A50" s="22">
        <v>6361</v>
      </c>
      <c r="B50" s="43" t="s">
        <v>238</v>
      </c>
      <c r="C50" s="14">
        <f t="shared" si="23"/>
        <v>6.187678592840211E-4</v>
      </c>
      <c r="D50" s="15">
        <v>1500</v>
      </c>
      <c r="E50" s="15">
        <f t="shared" si="24"/>
        <v>1500</v>
      </c>
      <c r="F50" s="15">
        <f t="shared" ref="F50" si="38">E50</f>
        <v>1500</v>
      </c>
      <c r="G50" s="15">
        <f t="shared" ref="G50" si="39">F50</f>
        <v>1500</v>
      </c>
      <c r="H50" s="15">
        <f t="shared" ref="H50" si="40">G50</f>
        <v>1500</v>
      </c>
      <c r="I50" s="15">
        <f t="shared" ref="I50" si="41">H50</f>
        <v>1500</v>
      </c>
      <c r="J50" s="15">
        <f t="shared" ref="J50" si="42">I50</f>
        <v>1500</v>
      </c>
      <c r="K50" s="15">
        <f t="shared" ref="K50" si="43">J50</f>
        <v>1500</v>
      </c>
      <c r="L50" s="15">
        <f t="shared" ref="L50" si="44">K50</f>
        <v>1500</v>
      </c>
      <c r="M50" s="15">
        <f t="shared" ref="M50" si="45">L50</f>
        <v>1500</v>
      </c>
      <c r="N50" s="15">
        <f t="shared" ref="N50" si="46">M50</f>
        <v>1500</v>
      </c>
      <c r="O50" s="15">
        <f t="shared" ref="O50" si="47">N50</f>
        <v>1500</v>
      </c>
      <c r="P50" s="15">
        <f t="shared" si="26"/>
        <v>18000</v>
      </c>
      <c r="Q50" s="122"/>
    </row>
    <row r="51" spans="1:17" x14ac:dyDescent="0.3">
      <c r="A51" s="22">
        <v>6390</v>
      </c>
      <c r="B51" s="43" t="s">
        <v>136</v>
      </c>
      <c r="C51" s="14">
        <f t="shared" si="23"/>
        <v>1.0312797654733685E-3</v>
      </c>
      <c r="D51" s="15">
        <f>4000</f>
        <v>4000</v>
      </c>
      <c r="E51" s="15">
        <f t="shared" si="24"/>
        <v>4000</v>
      </c>
      <c r="F51" s="15">
        <f t="shared" si="37"/>
        <v>4000</v>
      </c>
      <c r="G51" s="15">
        <f t="shared" si="37"/>
        <v>4000</v>
      </c>
      <c r="H51" s="15">
        <f t="shared" si="37"/>
        <v>4000</v>
      </c>
      <c r="I51" s="15">
        <f t="shared" si="37"/>
        <v>4000</v>
      </c>
      <c r="J51" s="15">
        <f>1000</f>
        <v>1000</v>
      </c>
      <c r="K51" s="15">
        <f t="shared" si="37"/>
        <v>1000</v>
      </c>
      <c r="L51" s="15">
        <f t="shared" si="37"/>
        <v>1000</v>
      </c>
      <c r="M51" s="15">
        <f t="shared" si="37"/>
        <v>1000</v>
      </c>
      <c r="N51" s="15">
        <f t="shared" si="37"/>
        <v>1000</v>
      </c>
      <c r="O51" s="15">
        <f t="shared" si="37"/>
        <v>1000</v>
      </c>
      <c r="P51" s="15">
        <f t="shared" si="26"/>
        <v>30000</v>
      </c>
      <c r="Q51" s="122"/>
    </row>
    <row r="52" spans="1:17" x14ac:dyDescent="0.3">
      <c r="A52" s="23"/>
      <c r="B52" s="20" t="s">
        <v>38</v>
      </c>
      <c r="C52" s="26">
        <f t="shared" si="23"/>
        <v>1.965396476562898E-2</v>
      </c>
      <c r="D52" s="17">
        <f t="shared" ref="D52:O52" si="48">SUM(D46:D51)</f>
        <v>49144.600000000006</v>
      </c>
      <c r="E52" s="17">
        <f t="shared" si="48"/>
        <v>49144.600000000006</v>
      </c>
      <c r="F52" s="17">
        <f t="shared" si="48"/>
        <v>49144.600000000006</v>
      </c>
      <c r="G52" s="17">
        <f t="shared" si="48"/>
        <v>49144.600000000006</v>
      </c>
      <c r="H52" s="17">
        <f t="shared" si="48"/>
        <v>49144.600000000006</v>
      </c>
      <c r="I52" s="17">
        <f t="shared" si="48"/>
        <v>49144.600000000006</v>
      </c>
      <c r="J52" s="17">
        <f t="shared" si="48"/>
        <v>46144.600000000006</v>
      </c>
      <c r="K52" s="17">
        <f t="shared" si="48"/>
        <v>46144.600000000006</v>
      </c>
      <c r="L52" s="17">
        <f t="shared" si="48"/>
        <v>46144.600000000006</v>
      </c>
      <c r="M52" s="17">
        <f t="shared" si="48"/>
        <v>46144.600000000006</v>
      </c>
      <c r="N52" s="17">
        <f t="shared" si="48"/>
        <v>46144.600000000006</v>
      </c>
      <c r="O52" s="17">
        <f t="shared" si="48"/>
        <v>46144.600000000006</v>
      </c>
      <c r="P52" s="17">
        <f>SUM(P46:P51)</f>
        <v>571735.19999999995</v>
      </c>
    </row>
    <row r="53" spans="1:17" x14ac:dyDescent="0.3">
      <c r="A53" s="23"/>
      <c r="B53" s="23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7" x14ac:dyDescent="0.3">
      <c r="A54" s="23" t="s">
        <v>74</v>
      </c>
      <c r="B54" s="21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7" x14ac:dyDescent="0.3">
      <c r="A55" s="23">
        <v>6401</v>
      </c>
      <c r="B55" s="43" t="s">
        <v>376</v>
      </c>
      <c r="C55" s="14">
        <f t="shared" ref="C55:C65" si="49">P55/$P$8</f>
        <v>1.6628354938492593E-3</v>
      </c>
      <c r="D55" s="15">
        <v>4031</v>
      </c>
      <c r="E55" s="15">
        <f t="shared" ref="E55" si="50">D55</f>
        <v>4031</v>
      </c>
      <c r="F55" s="15">
        <f t="shared" ref="F55" si="51">E55</f>
        <v>4031</v>
      </c>
      <c r="G55" s="15">
        <f t="shared" ref="G55" si="52">F55</f>
        <v>4031</v>
      </c>
      <c r="H55" s="15">
        <f t="shared" ref="H55" si="53">G55</f>
        <v>4031</v>
      </c>
      <c r="I55" s="15">
        <f t="shared" ref="I55" si="54">H55</f>
        <v>4031</v>
      </c>
      <c r="J55" s="15">
        <f t="shared" ref="J55" si="55">I55</f>
        <v>4031</v>
      </c>
      <c r="K55" s="15">
        <f t="shared" ref="K55" si="56">J55</f>
        <v>4031</v>
      </c>
      <c r="L55" s="15">
        <f>K55</f>
        <v>4031</v>
      </c>
      <c r="M55" s="15">
        <f t="shared" ref="M55" si="57">L55</f>
        <v>4031</v>
      </c>
      <c r="N55" s="15">
        <f t="shared" ref="N55" si="58">M55</f>
        <v>4031</v>
      </c>
      <c r="O55" s="15">
        <f t="shared" ref="O55" si="59">N55</f>
        <v>4031</v>
      </c>
      <c r="P55" s="15">
        <f t="shared" ref="P55" si="60">SUM(D55:O55)</f>
        <v>48372</v>
      </c>
    </row>
    <row r="56" spans="1:17" x14ac:dyDescent="0.3">
      <c r="A56" s="22">
        <v>6421</v>
      </c>
      <c r="B56" s="43" t="s">
        <v>169</v>
      </c>
      <c r="C56" s="14">
        <f t="shared" si="49"/>
        <v>8.4207430450118778E-4</v>
      </c>
      <c r="D56" s="15">
        <f>2967+95</f>
        <v>3062</v>
      </c>
      <c r="E56" s="15">
        <f t="shared" ref="E56:O56" si="61">D56</f>
        <v>3062</v>
      </c>
      <c r="F56" s="15">
        <f t="shared" si="61"/>
        <v>3062</v>
      </c>
      <c r="G56" s="15">
        <f t="shared" si="61"/>
        <v>3062</v>
      </c>
      <c r="H56" s="15">
        <f t="shared" si="61"/>
        <v>3062</v>
      </c>
      <c r="I56" s="15">
        <f t="shared" si="61"/>
        <v>3062</v>
      </c>
      <c r="J56" s="15">
        <f t="shared" si="61"/>
        <v>3062</v>
      </c>
      <c r="K56" s="15">
        <f t="shared" si="61"/>
        <v>3062</v>
      </c>
      <c r="L56" s="15">
        <v>0</v>
      </c>
      <c r="M56" s="15">
        <f t="shared" si="61"/>
        <v>0</v>
      </c>
      <c r="N56" s="15">
        <f t="shared" si="61"/>
        <v>0</v>
      </c>
      <c r="O56" s="15">
        <f t="shared" si="61"/>
        <v>0</v>
      </c>
      <c r="P56" s="15">
        <f t="shared" ref="P56:P64" si="62">SUM(D56:O56)</f>
        <v>24496</v>
      </c>
    </row>
    <row r="57" spans="1:17" x14ac:dyDescent="0.3">
      <c r="A57" s="22">
        <v>6422</v>
      </c>
      <c r="B57" s="43" t="s">
        <v>170</v>
      </c>
      <c r="C57" s="14">
        <f t="shared" si="49"/>
        <v>8.4207430450118778E-4</v>
      </c>
      <c r="D57" s="15">
        <f>2967+95</f>
        <v>3062</v>
      </c>
      <c r="E57" s="15">
        <f t="shared" ref="E57:O57" si="63">D57</f>
        <v>3062</v>
      </c>
      <c r="F57" s="15">
        <f t="shared" si="63"/>
        <v>3062</v>
      </c>
      <c r="G57" s="15">
        <f t="shared" si="63"/>
        <v>3062</v>
      </c>
      <c r="H57" s="15">
        <f t="shared" si="63"/>
        <v>3062</v>
      </c>
      <c r="I57" s="15">
        <f t="shared" si="63"/>
        <v>3062</v>
      </c>
      <c r="J57" s="15">
        <f t="shared" si="63"/>
        <v>3062</v>
      </c>
      <c r="K57" s="15">
        <f t="shared" si="63"/>
        <v>3062</v>
      </c>
      <c r="L57" s="15">
        <v>0</v>
      </c>
      <c r="M57" s="15">
        <f t="shared" si="63"/>
        <v>0</v>
      </c>
      <c r="N57" s="15">
        <f t="shared" si="63"/>
        <v>0</v>
      </c>
      <c r="O57" s="15">
        <f t="shared" si="63"/>
        <v>0</v>
      </c>
      <c r="P57" s="15">
        <f t="shared" si="62"/>
        <v>24496</v>
      </c>
    </row>
    <row r="58" spans="1:17" x14ac:dyDescent="0.3">
      <c r="A58" s="22">
        <v>6424</v>
      </c>
      <c r="B58" s="43" t="s">
        <v>179</v>
      </c>
      <c r="C58" s="14">
        <f t="shared" si="49"/>
        <v>1.5304191719624789E-3</v>
      </c>
      <c r="D58" s="15">
        <f>3615+95</f>
        <v>3710</v>
      </c>
      <c r="E58" s="15">
        <f t="shared" ref="E58:E63" si="64">D58</f>
        <v>3710</v>
      </c>
      <c r="F58" s="15">
        <f t="shared" ref="F58:O64" si="65">E58</f>
        <v>3710</v>
      </c>
      <c r="G58" s="15">
        <f t="shared" si="65"/>
        <v>3710</v>
      </c>
      <c r="H58" s="15">
        <f t="shared" si="65"/>
        <v>3710</v>
      </c>
      <c r="I58" s="15">
        <f t="shared" si="65"/>
        <v>3710</v>
      </c>
      <c r="J58" s="15">
        <f t="shared" si="65"/>
        <v>3710</v>
      </c>
      <c r="K58" s="15">
        <f t="shared" si="65"/>
        <v>3710</v>
      </c>
      <c r="L58" s="15">
        <f t="shared" si="65"/>
        <v>3710</v>
      </c>
      <c r="M58" s="15">
        <f t="shared" si="65"/>
        <v>3710</v>
      </c>
      <c r="N58" s="15">
        <f t="shared" si="65"/>
        <v>3710</v>
      </c>
      <c r="O58" s="15">
        <f t="shared" si="65"/>
        <v>3710</v>
      </c>
      <c r="P58" s="15">
        <f t="shared" si="62"/>
        <v>44520</v>
      </c>
    </row>
    <row r="59" spans="1:17" x14ac:dyDescent="0.3">
      <c r="A59" s="22">
        <v>6425</v>
      </c>
      <c r="B59" s="43" t="s">
        <v>212</v>
      </c>
      <c r="C59" s="14">
        <f t="shared" si="49"/>
        <v>1.2230978018514149E-3</v>
      </c>
      <c r="D59" s="15">
        <v>2965</v>
      </c>
      <c r="E59" s="15">
        <f t="shared" si="64"/>
        <v>2965</v>
      </c>
      <c r="F59" s="15">
        <f t="shared" si="65"/>
        <v>2965</v>
      </c>
      <c r="G59" s="15">
        <f t="shared" si="65"/>
        <v>2965</v>
      </c>
      <c r="H59" s="15">
        <f t="shared" si="65"/>
        <v>2965</v>
      </c>
      <c r="I59" s="15">
        <f t="shared" si="65"/>
        <v>2965</v>
      </c>
      <c r="J59" s="15">
        <f t="shared" si="65"/>
        <v>2965</v>
      </c>
      <c r="K59" s="15">
        <f t="shared" si="65"/>
        <v>2965</v>
      </c>
      <c r="L59" s="15">
        <f t="shared" si="65"/>
        <v>2965</v>
      </c>
      <c r="M59" s="15">
        <f t="shared" si="65"/>
        <v>2965</v>
      </c>
      <c r="N59" s="15">
        <f t="shared" si="65"/>
        <v>2965</v>
      </c>
      <c r="O59" s="15">
        <f t="shared" si="65"/>
        <v>2965</v>
      </c>
      <c r="P59" s="15">
        <f t="shared" si="62"/>
        <v>35580</v>
      </c>
    </row>
    <row r="60" spans="1:17" x14ac:dyDescent="0.3">
      <c r="A60" s="22">
        <v>6426</v>
      </c>
      <c r="B60" s="43" t="s">
        <v>213</v>
      </c>
      <c r="C60" s="14">
        <f t="shared" si="49"/>
        <v>1.998620185487388E-3</v>
      </c>
      <c r="D60" s="15">
        <v>4845</v>
      </c>
      <c r="E60" s="15">
        <f t="shared" si="64"/>
        <v>4845</v>
      </c>
      <c r="F60" s="15">
        <f t="shared" si="65"/>
        <v>4845</v>
      </c>
      <c r="G60" s="15">
        <f t="shared" si="65"/>
        <v>4845</v>
      </c>
      <c r="H60" s="15">
        <f t="shared" si="65"/>
        <v>4845</v>
      </c>
      <c r="I60" s="15">
        <f t="shared" si="65"/>
        <v>4845</v>
      </c>
      <c r="J60" s="15">
        <f t="shared" si="65"/>
        <v>4845</v>
      </c>
      <c r="K60" s="15">
        <f t="shared" si="65"/>
        <v>4845</v>
      </c>
      <c r="L60" s="15">
        <f t="shared" si="65"/>
        <v>4845</v>
      </c>
      <c r="M60" s="15">
        <f t="shared" si="65"/>
        <v>4845</v>
      </c>
      <c r="N60" s="15">
        <f t="shared" si="65"/>
        <v>4845</v>
      </c>
      <c r="O60" s="15">
        <f t="shared" si="65"/>
        <v>4845</v>
      </c>
      <c r="P60" s="15">
        <f t="shared" si="62"/>
        <v>58140</v>
      </c>
    </row>
    <row r="61" spans="1:17" x14ac:dyDescent="0.3">
      <c r="A61" s="22">
        <v>6427</v>
      </c>
      <c r="B61" s="43" t="s">
        <v>322</v>
      </c>
      <c r="C61" s="14">
        <f t="shared" si="49"/>
        <v>1.7882391133308209E-3</v>
      </c>
      <c r="D61" s="15">
        <v>4335</v>
      </c>
      <c r="E61" s="15">
        <f t="shared" si="64"/>
        <v>4335</v>
      </c>
      <c r="F61" s="15">
        <f t="shared" si="65"/>
        <v>4335</v>
      </c>
      <c r="G61" s="15">
        <f t="shared" si="65"/>
        <v>4335</v>
      </c>
      <c r="H61" s="15">
        <f t="shared" si="65"/>
        <v>4335</v>
      </c>
      <c r="I61" s="15">
        <f t="shared" si="65"/>
        <v>4335</v>
      </c>
      <c r="J61" s="15">
        <f t="shared" si="65"/>
        <v>4335</v>
      </c>
      <c r="K61" s="15">
        <f t="shared" si="65"/>
        <v>4335</v>
      </c>
      <c r="L61" s="15">
        <f t="shared" ref="L61:M63" si="66">K61</f>
        <v>4335</v>
      </c>
      <c r="M61" s="15">
        <f t="shared" si="66"/>
        <v>4335</v>
      </c>
      <c r="N61" s="15">
        <f t="shared" si="65"/>
        <v>4335</v>
      </c>
      <c r="O61" s="15">
        <f t="shared" si="65"/>
        <v>4335</v>
      </c>
      <c r="P61" s="15">
        <f t="shared" si="62"/>
        <v>52020</v>
      </c>
    </row>
    <row r="62" spans="1:17" x14ac:dyDescent="0.3">
      <c r="A62" s="22">
        <v>6428</v>
      </c>
      <c r="B62" s="43" t="s">
        <v>374</v>
      </c>
      <c r="C62" s="14">
        <f t="shared" si="49"/>
        <v>2.3933940797105937E-3</v>
      </c>
      <c r="D62" s="15">
        <v>5802</v>
      </c>
      <c r="E62" s="15">
        <f t="shared" si="64"/>
        <v>5802</v>
      </c>
      <c r="F62" s="15">
        <f t="shared" si="65"/>
        <v>5802</v>
      </c>
      <c r="G62" s="15">
        <f t="shared" si="65"/>
        <v>5802</v>
      </c>
      <c r="H62" s="15">
        <f t="shared" si="65"/>
        <v>5802</v>
      </c>
      <c r="I62" s="15">
        <f t="shared" si="65"/>
        <v>5802</v>
      </c>
      <c r="J62" s="15">
        <f t="shared" si="65"/>
        <v>5802</v>
      </c>
      <c r="K62" s="15">
        <f t="shared" si="65"/>
        <v>5802</v>
      </c>
      <c r="L62" s="15">
        <f t="shared" si="66"/>
        <v>5802</v>
      </c>
      <c r="M62" s="15">
        <f t="shared" si="66"/>
        <v>5802</v>
      </c>
      <c r="N62" s="15">
        <f t="shared" si="65"/>
        <v>5802</v>
      </c>
      <c r="O62" s="15">
        <f t="shared" si="65"/>
        <v>5802</v>
      </c>
      <c r="P62" s="15">
        <f t="shared" si="62"/>
        <v>69624</v>
      </c>
    </row>
    <row r="63" spans="1:17" x14ac:dyDescent="0.3">
      <c r="A63" s="22">
        <v>6429</v>
      </c>
      <c r="B63" s="43" t="s">
        <v>375</v>
      </c>
      <c r="C63" s="14">
        <f t="shared" si="49"/>
        <v>2.3612181510278244E-3</v>
      </c>
      <c r="D63" s="15">
        <v>5724</v>
      </c>
      <c r="E63" s="15">
        <f t="shared" si="64"/>
        <v>5724</v>
      </c>
      <c r="F63" s="15">
        <f t="shared" si="65"/>
        <v>5724</v>
      </c>
      <c r="G63" s="15">
        <f t="shared" si="65"/>
        <v>5724</v>
      </c>
      <c r="H63" s="15">
        <f t="shared" si="65"/>
        <v>5724</v>
      </c>
      <c r="I63" s="15">
        <f t="shared" si="65"/>
        <v>5724</v>
      </c>
      <c r="J63" s="15">
        <f t="shared" si="65"/>
        <v>5724</v>
      </c>
      <c r="K63" s="15">
        <f t="shared" si="65"/>
        <v>5724</v>
      </c>
      <c r="L63" s="15">
        <f t="shared" si="66"/>
        <v>5724</v>
      </c>
      <c r="M63" s="15">
        <f t="shared" si="66"/>
        <v>5724</v>
      </c>
      <c r="N63" s="15">
        <f t="shared" si="65"/>
        <v>5724</v>
      </c>
      <c r="O63" s="15">
        <f t="shared" si="65"/>
        <v>5724</v>
      </c>
      <c r="P63" s="15">
        <f t="shared" si="62"/>
        <v>68688</v>
      </c>
    </row>
    <row r="64" spans="1:17" x14ac:dyDescent="0.3">
      <c r="A64" s="22"/>
      <c r="B64" s="43" t="s">
        <v>383</v>
      </c>
      <c r="C64" s="14"/>
      <c r="D64" s="15"/>
      <c r="E64" s="15"/>
      <c r="F64" s="15"/>
      <c r="G64" s="15"/>
      <c r="H64" s="15"/>
      <c r="I64" s="15"/>
      <c r="J64" s="15"/>
      <c r="K64" s="15"/>
      <c r="L64" s="15">
        <v>5800</v>
      </c>
      <c r="M64" s="15">
        <f>L64</f>
        <v>5800</v>
      </c>
      <c r="N64" s="15">
        <f t="shared" si="65"/>
        <v>5800</v>
      </c>
      <c r="O64" s="15">
        <f t="shared" si="65"/>
        <v>5800</v>
      </c>
      <c r="P64" s="15">
        <f t="shared" si="62"/>
        <v>23200</v>
      </c>
    </row>
    <row r="65" spans="1:17" x14ac:dyDescent="0.3">
      <c r="A65" s="23"/>
      <c r="B65" s="20" t="s">
        <v>75</v>
      </c>
      <c r="C65" s="26">
        <f t="shared" si="49"/>
        <v>1.4641972606222155E-2</v>
      </c>
      <c r="D65" s="17">
        <f t="shared" ref="D65:L65" si="67">SUM(D55:D63)</f>
        <v>37536</v>
      </c>
      <c r="E65" s="17">
        <f t="shared" si="67"/>
        <v>37536</v>
      </c>
      <c r="F65" s="17">
        <f t="shared" si="67"/>
        <v>37536</v>
      </c>
      <c r="G65" s="17">
        <f t="shared" si="67"/>
        <v>37536</v>
      </c>
      <c r="H65" s="17">
        <f t="shared" si="67"/>
        <v>37536</v>
      </c>
      <c r="I65" s="17">
        <f t="shared" si="67"/>
        <v>37536</v>
      </c>
      <c r="J65" s="17">
        <f t="shared" si="67"/>
        <v>37536</v>
      </c>
      <c r="K65" s="17">
        <f t="shared" si="67"/>
        <v>37536</v>
      </c>
      <c r="L65" s="17">
        <f t="shared" si="67"/>
        <v>31412</v>
      </c>
      <c r="M65" s="17">
        <f>SUM(M55:M64)</f>
        <v>37212</v>
      </c>
      <c r="N65" s="17">
        <f>SUM(N55:N64)</f>
        <v>37212</v>
      </c>
      <c r="O65" s="17">
        <f>SUM(O55:O64)</f>
        <v>37212</v>
      </c>
      <c r="P65" s="17">
        <f>SUM(P55:P63)</f>
        <v>425936</v>
      </c>
    </row>
    <row r="66" spans="1:17" x14ac:dyDescent="0.3">
      <c r="A66" s="23"/>
      <c r="B66" s="23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7" x14ac:dyDescent="0.3">
      <c r="A67" s="23" t="s">
        <v>76</v>
      </c>
      <c r="B67" s="21"/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7" x14ac:dyDescent="0.3">
      <c r="A68" s="22">
        <v>6510</v>
      </c>
      <c r="B68" s="43" t="s">
        <v>199</v>
      </c>
      <c r="C68" s="14">
        <f t="shared" ref="C68:C73" si="68">P68/$P$8</f>
        <v>4.1251190618934739E-3</v>
      </c>
      <c r="D68" s="15">
        <v>10000</v>
      </c>
      <c r="E68" s="15">
        <f>D68</f>
        <v>10000</v>
      </c>
      <c r="F68" s="15">
        <f t="shared" ref="F68:O68" si="69">E68</f>
        <v>10000</v>
      </c>
      <c r="G68" s="15">
        <f t="shared" si="69"/>
        <v>10000</v>
      </c>
      <c r="H68" s="15">
        <f t="shared" si="69"/>
        <v>10000</v>
      </c>
      <c r="I68" s="15">
        <f t="shared" si="69"/>
        <v>10000</v>
      </c>
      <c r="J68" s="15">
        <f t="shared" si="69"/>
        <v>10000</v>
      </c>
      <c r="K68" s="15">
        <f t="shared" si="69"/>
        <v>10000</v>
      </c>
      <c r="L68" s="15">
        <f t="shared" si="69"/>
        <v>10000</v>
      </c>
      <c r="M68" s="15">
        <f t="shared" si="69"/>
        <v>10000</v>
      </c>
      <c r="N68" s="15">
        <f t="shared" si="69"/>
        <v>10000</v>
      </c>
      <c r="O68" s="15">
        <f t="shared" si="69"/>
        <v>10000</v>
      </c>
      <c r="P68" s="15">
        <f>SUM(D68:O68)</f>
        <v>120000</v>
      </c>
    </row>
    <row r="69" spans="1:17" x14ac:dyDescent="0.3">
      <c r="A69" s="22">
        <v>6540</v>
      </c>
      <c r="B69" s="43" t="s">
        <v>200</v>
      </c>
      <c r="C69" s="14">
        <f t="shared" si="68"/>
        <v>4.1251190618934736E-4</v>
      </c>
      <c r="D69" s="15">
        <v>1000</v>
      </c>
      <c r="E69" s="15">
        <f>D69</f>
        <v>1000</v>
      </c>
      <c r="F69" s="15">
        <f t="shared" ref="F69:O70" si="70">E69</f>
        <v>1000</v>
      </c>
      <c r="G69" s="15">
        <f t="shared" si="70"/>
        <v>1000</v>
      </c>
      <c r="H69" s="15">
        <f t="shared" si="70"/>
        <v>1000</v>
      </c>
      <c r="I69" s="15">
        <f t="shared" si="70"/>
        <v>1000</v>
      </c>
      <c r="J69" s="15">
        <f t="shared" si="70"/>
        <v>1000</v>
      </c>
      <c r="K69" s="15">
        <f t="shared" si="70"/>
        <v>1000</v>
      </c>
      <c r="L69" s="15">
        <f t="shared" si="70"/>
        <v>1000</v>
      </c>
      <c r="M69" s="15">
        <f t="shared" si="70"/>
        <v>1000</v>
      </c>
      <c r="N69" s="15">
        <f t="shared" si="70"/>
        <v>1000</v>
      </c>
      <c r="O69" s="15">
        <f t="shared" si="70"/>
        <v>1000</v>
      </c>
      <c r="P69" s="15">
        <f>SUM(D69:O69)</f>
        <v>12000</v>
      </c>
    </row>
    <row r="70" spans="1:17" x14ac:dyDescent="0.3">
      <c r="A70" s="22">
        <v>6541</v>
      </c>
      <c r="B70" s="43" t="s">
        <v>201</v>
      </c>
      <c r="C70" s="14">
        <f t="shared" si="68"/>
        <v>1.4437916716627159E-3</v>
      </c>
      <c r="D70" s="15">
        <v>3500</v>
      </c>
      <c r="E70" s="15">
        <f>D70</f>
        <v>3500</v>
      </c>
      <c r="F70" s="15">
        <f t="shared" si="70"/>
        <v>3500</v>
      </c>
      <c r="G70" s="15">
        <f t="shared" si="70"/>
        <v>3500</v>
      </c>
      <c r="H70" s="15">
        <f t="shared" si="70"/>
        <v>3500</v>
      </c>
      <c r="I70" s="15">
        <f t="shared" si="70"/>
        <v>3500</v>
      </c>
      <c r="J70" s="15">
        <f t="shared" si="70"/>
        <v>3500</v>
      </c>
      <c r="K70" s="15">
        <f t="shared" si="70"/>
        <v>3500</v>
      </c>
      <c r="L70" s="15">
        <f t="shared" si="70"/>
        <v>3500</v>
      </c>
      <c r="M70" s="15">
        <f t="shared" si="70"/>
        <v>3500</v>
      </c>
      <c r="N70" s="15">
        <f t="shared" si="70"/>
        <v>3500</v>
      </c>
      <c r="O70" s="15">
        <f t="shared" si="70"/>
        <v>3500</v>
      </c>
      <c r="P70" s="15">
        <f>SUM(D70:O70)</f>
        <v>42000</v>
      </c>
    </row>
    <row r="71" spans="1:17" x14ac:dyDescent="0.3">
      <c r="A71" s="22">
        <v>6553</v>
      </c>
      <c r="B71" s="43" t="s">
        <v>202</v>
      </c>
      <c r="C71" s="14">
        <f t="shared" si="68"/>
        <v>3.3000952495147789E-3</v>
      </c>
      <c r="D71" s="15">
        <v>8000</v>
      </c>
      <c r="E71" s="15">
        <f>D71</f>
        <v>8000</v>
      </c>
      <c r="F71" s="15">
        <f t="shared" ref="F71:O72" si="71">E71</f>
        <v>8000</v>
      </c>
      <c r="G71" s="15">
        <f t="shared" si="71"/>
        <v>8000</v>
      </c>
      <c r="H71" s="15">
        <f t="shared" si="71"/>
        <v>8000</v>
      </c>
      <c r="I71" s="15">
        <f t="shared" si="71"/>
        <v>8000</v>
      </c>
      <c r="J71" s="15">
        <f t="shared" si="71"/>
        <v>8000</v>
      </c>
      <c r="K71" s="15">
        <f t="shared" si="71"/>
        <v>8000</v>
      </c>
      <c r="L71" s="15">
        <f t="shared" si="71"/>
        <v>8000</v>
      </c>
      <c r="M71" s="15">
        <f t="shared" si="71"/>
        <v>8000</v>
      </c>
      <c r="N71" s="15">
        <f t="shared" si="71"/>
        <v>8000</v>
      </c>
      <c r="O71" s="15">
        <f t="shared" si="71"/>
        <v>8000</v>
      </c>
      <c r="P71" s="15">
        <f>SUM(D71:O71)</f>
        <v>96000</v>
      </c>
    </row>
    <row r="72" spans="1:17" x14ac:dyDescent="0.3">
      <c r="A72" s="22">
        <v>6570</v>
      </c>
      <c r="B72" s="43" t="s">
        <v>78</v>
      </c>
      <c r="C72" s="14">
        <f t="shared" si="68"/>
        <v>4.1251190618934739E-3</v>
      </c>
      <c r="D72" s="15">
        <v>10000</v>
      </c>
      <c r="E72" s="15">
        <f>D72</f>
        <v>10000</v>
      </c>
      <c r="F72" s="15">
        <f t="shared" si="71"/>
        <v>10000</v>
      </c>
      <c r="G72" s="15">
        <f t="shared" si="71"/>
        <v>10000</v>
      </c>
      <c r="H72" s="15">
        <f t="shared" si="71"/>
        <v>10000</v>
      </c>
      <c r="I72" s="15">
        <f t="shared" si="71"/>
        <v>10000</v>
      </c>
      <c r="J72" s="15">
        <f t="shared" si="71"/>
        <v>10000</v>
      </c>
      <c r="K72" s="15">
        <f t="shared" si="71"/>
        <v>10000</v>
      </c>
      <c r="L72" s="15">
        <f t="shared" si="71"/>
        <v>10000</v>
      </c>
      <c r="M72" s="15">
        <f t="shared" si="71"/>
        <v>10000</v>
      </c>
      <c r="N72" s="15">
        <f t="shared" si="71"/>
        <v>10000</v>
      </c>
      <c r="O72" s="15">
        <f t="shared" si="71"/>
        <v>10000</v>
      </c>
      <c r="P72" s="15">
        <f>SUM(D72:O72)</f>
        <v>120000</v>
      </c>
    </row>
    <row r="73" spans="1:17" x14ac:dyDescent="0.3">
      <c r="A73" s="23"/>
      <c r="B73" s="20" t="s">
        <v>77</v>
      </c>
      <c r="C73" s="26">
        <f t="shared" si="68"/>
        <v>1.3406636951153791E-2</v>
      </c>
      <c r="D73" s="17">
        <f t="shared" ref="D73:P73" si="72">SUM(D68:D72)</f>
        <v>32500</v>
      </c>
      <c r="E73" s="17">
        <f t="shared" si="72"/>
        <v>32500</v>
      </c>
      <c r="F73" s="17">
        <f t="shared" si="72"/>
        <v>32500</v>
      </c>
      <c r="G73" s="17">
        <f t="shared" si="72"/>
        <v>32500</v>
      </c>
      <c r="H73" s="17">
        <f t="shared" si="72"/>
        <v>32500</v>
      </c>
      <c r="I73" s="17">
        <f t="shared" si="72"/>
        <v>32500</v>
      </c>
      <c r="J73" s="17">
        <f t="shared" si="72"/>
        <v>32500</v>
      </c>
      <c r="K73" s="17">
        <f t="shared" si="72"/>
        <v>32500</v>
      </c>
      <c r="L73" s="17">
        <f t="shared" si="72"/>
        <v>32500</v>
      </c>
      <c r="M73" s="17">
        <f t="shared" si="72"/>
        <v>32500</v>
      </c>
      <c r="N73" s="17">
        <f t="shared" si="72"/>
        <v>32500</v>
      </c>
      <c r="O73" s="17">
        <f t="shared" si="72"/>
        <v>32500</v>
      </c>
      <c r="P73" s="17">
        <f t="shared" si="72"/>
        <v>390000</v>
      </c>
      <c r="Q73" s="122"/>
    </row>
    <row r="74" spans="1:17" x14ac:dyDescent="0.3">
      <c r="A74" s="23"/>
      <c r="B74" s="23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22"/>
    </row>
    <row r="75" spans="1:17" x14ac:dyDescent="0.3">
      <c r="A75" s="23" t="s">
        <v>80</v>
      </c>
      <c r="B75" s="21"/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7" x14ac:dyDescent="0.3">
      <c r="A76" s="22">
        <v>6620</v>
      </c>
      <c r="B76" s="43" t="s">
        <v>13</v>
      </c>
      <c r="C76" s="14">
        <f>P76/$P$8</f>
        <v>8.2502381237869473E-4</v>
      </c>
      <c r="D76" s="15">
        <v>2000</v>
      </c>
      <c r="E76" s="15">
        <f>D76</f>
        <v>2000</v>
      </c>
      <c r="F76" s="15">
        <f t="shared" ref="F76:O76" si="73">E76</f>
        <v>2000</v>
      </c>
      <c r="G76" s="15">
        <f t="shared" si="73"/>
        <v>2000</v>
      </c>
      <c r="H76" s="15">
        <f t="shared" si="73"/>
        <v>2000</v>
      </c>
      <c r="I76" s="15">
        <f t="shared" si="73"/>
        <v>2000</v>
      </c>
      <c r="J76" s="15">
        <f t="shared" si="73"/>
        <v>2000</v>
      </c>
      <c r="K76" s="15">
        <f t="shared" si="73"/>
        <v>2000</v>
      </c>
      <c r="L76" s="15">
        <f t="shared" si="73"/>
        <v>2000</v>
      </c>
      <c r="M76" s="15">
        <f t="shared" si="73"/>
        <v>2000</v>
      </c>
      <c r="N76" s="15">
        <f t="shared" si="73"/>
        <v>2000</v>
      </c>
      <c r="O76" s="15">
        <f t="shared" si="73"/>
        <v>2000</v>
      </c>
      <c r="P76" s="15">
        <f>SUM(D76:O76)</f>
        <v>24000</v>
      </c>
    </row>
    <row r="77" spans="1:17" x14ac:dyDescent="0.3">
      <c r="A77" s="23"/>
      <c r="B77" s="20" t="s">
        <v>81</v>
      </c>
      <c r="C77" s="26">
        <f>P77/$P$8</f>
        <v>8.2502381237869473E-4</v>
      </c>
      <c r="D77" s="17">
        <f>SUM(D76)</f>
        <v>2000</v>
      </c>
      <c r="E77" s="17">
        <f t="shared" ref="E77:O77" si="74">SUM(E76)</f>
        <v>2000</v>
      </c>
      <c r="F77" s="17">
        <f t="shared" si="74"/>
        <v>2000</v>
      </c>
      <c r="G77" s="17">
        <f t="shared" si="74"/>
        <v>2000</v>
      </c>
      <c r="H77" s="17">
        <f t="shared" si="74"/>
        <v>2000</v>
      </c>
      <c r="I77" s="17">
        <f t="shared" si="74"/>
        <v>2000</v>
      </c>
      <c r="J77" s="17">
        <f t="shared" si="74"/>
        <v>2000</v>
      </c>
      <c r="K77" s="17">
        <f t="shared" si="74"/>
        <v>2000</v>
      </c>
      <c r="L77" s="17">
        <f t="shared" si="74"/>
        <v>2000</v>
      </c>
      <c r="M77" s="17">
        <f t="shared" si="74"/>
        <v>2000</v>
      </c>
      <c r="N77" s="17">
        <f t="shared" si="74"/>
        <v>2000</v>
      </c>
      <c r="O77" s="17">
        <f t="shared" si="74"/>
        <v>2000</v>
      </c>
      <c r="P77" s="17">
        <f>SUM(P76)</f>
        <v>24000</v>
      </c>
    </row>
    <row r="78" spans="1:17" x14ac:dyDescent="0.3">
      <c r="A78" s="23"/>
      <c r="B78" s="23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7" x14ac:dyDescent="0.3">
      <c r="A79" s="23" t="s">
        <v>83</v>
      </c>
      <c r="B79" s="23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7" x14ac:dyDescent="0.3">
      <c r="A80" s="22">
        <v>6701</v>
      </c>
      <c r="B80" s="21" t="s">
        <v>14</v>
      </c>
      <c r="C80" s="14">
        <f>P80/$P$8</f>
        <v>1.6500476247573895E-3</v>
      </c>
      <c r="D80" s="15">
        <v>4000</v>
      </c>
      <c r="E80" s="15">
        <f>D80</f>
        <v>4000</v>
      </c>
      <c r="F80" s="15">
        <f t="shared" ref="F80:O83" si="75">E80</f>
        <v>4000</v>
      </c>
      <c r="G80" s="15">
        <f t="shared" si="75"/>
        <v>4000</v>
      </c>
      <c r="H80" s="15">
        <f t="shared" si="75"/>
        <v>4000</v>
      </c>
      <c r="I80" s="15">
        <f t="shared" si="75"/>
        <v>4000</v>
      </c>
      <c r="J80" s="15">
        <f t="shared" si="75"/>
        <v>4000</v>
      </c>
      <c r="K80" s="15">
        <f t="shared" si="75"/>
        <v>4000</v>
      </c>
      <c r="L80" s="15">
        <f t="shared" si="75"/>
        <v>4000</v>
      </c>
      <c r="M80" s="15">
        <f t="shared" si="75"/>
        <v>4000</v>
      </c>
      <c r="N80" s="15">
        <f t="shared" si="75"/>
        <v>4000</v>
      </c>
      <c r="O80" s="15">
        <f t="shared" si="75"/>
        <v>4000</v>
      </c>
      <c r="P80" s="15">
        <f>SUM(D80:O80)</f>
        <v>48000</v>
      </c>
    </row>
    <row r="81" spans="1:255" x14ac:dyDescent="0.3">
      <c r="A81" s="22">
        <v>6705</v>
      </c>
      <c r="B81" s="21" t="s">
        <v>15</v>
      </c>
      <c r="C81" s="14">
        <f>P81/$P$8</f>
        <v>1.0312797654733684E-2</v>
      </c>
      <c r="D81" s="15">
        <v>25000</v>
      </c>
      <c r="E81" s="15">
        <f>D81</f>
        <v>25000</v>
      </c>
      <c r="F81" s="15">
        <f t="shared" si="75"/>
        <v>25000</v>
      </c>
      <c r="G81" s="15">
        <f t="shared" si="75"/>
        <v>25000</v>
      </c>
      <c r="H81" s="15">
        <f t="shared" si="75"/>
        <v>25000</v>
      </c>
      <c r="I81" s="15">
        <f t="shared" si="75"/>
        <v>25000</v>
      </c>
      <c r="J81" s="15">
        <f t="shared" si="75"/>
        <v>25000</v>
      </c>
      <c r="K81" s="15">
        <f t="shared" si="75"/>
        <v>25000</v>
      </c>
      <c r="L81" s="15">
        <f t="shared" si="75"/>
        <v>25000</v>
      </c>
      <c r="M81" s="15">
        <f t="shared" si="75"/>
        <v>25000</v>
      </c>
      <c r="N81" s="15">
        <f t="shared" si="75"/>
        <v>25000</v>
      </c>
      <c r="O81" s="15">
        <f t="shared" si="75"/>
        <v>25000</v>
      </c>
      <c r="P81" s="15">
        <f>SUM(D81:O81)</f>
        <v>300000</v>
      </c>
    </row>
    <row r="82" spans="1:255" s="13" customFormat="1" x14ac:dyDescent="0.3">
      <c r="A82" s="22">
        <v>6721</v>
      </c>
      <c r="B82" s="43" t="s">
        <v>214</v>
      </c>
      <c r="C82" s="14">
        <f>P82/$P$8</f>
        <v>2.0213083403278022E-2</v>
      </c>
      <c r="D82" s="15">
        <v>49000</v>
      </c>
      <c r="E82" s="15">
        <f>D82</f>
        <v>49000</v>
      </c>
      <c r="F82" s="15">
        <f t="shared" si="75"/>
        <v>49000</v>
      </c>
      <c r="G82" s="15">
        <f t="shared" si="75"/>
        <v>49000</v>
      </c>
      <c r="H82" s="15">
        <f t="shared" si="75"/>
        <v>49000</v>
      </c>
      <c r="I82" s="15">
        <f t="shared" si="75"/>
        <v>49000</v>
      </c>
      <c r="J82" s="15">
        <f t="shared" si="75"/>
        <v>49000</v>
      </c>
      <c r="K82" s="15">
        <f t="shared" si="75"/>
        <v>49000</v>
      </c>
      <c r="L82" s="15">
        <f t="shared" si="75"/>
        <v>49000</v>
      </c>
      <c r="M82" s="15">
        <f t="shared" si="75"/>
        <v>49000</v>
      </c>
      <c r="N82" s="15">
        <f t="shared" si="75"/>
        <v>49000</v>
      </c>
      <c r="O82" s="15">
        <f t="shared" si="75"/>
        <v>49000</v>
      </c>
      <c r="P82" s="15">
        <f>SUM(D82:O82)</f>
        <v>588000</v>
      </c>
      <c r="Q82" s="12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</row>
    <row r="83" spans="1:255" s="13" customFormat="1" x14ac:dyDescent="0.3">
      <c r="A83" s="22">
        <v>6725</v>
      </c>
      <c r="B83" s="43" t="s">
        <v>82</v>
      </c>
      <c r="C83" s="14">
        <f>P83/$P$8</f>
        <v>4.1251190618934736E-4</v>
      </c>
      <c r="D83" s="15">
        <v>1000</v>
      </c>
      <c r="E83" s="15">
        <f>D83</f>
        <v>1000</v>
      </c>
      <c r="F83" s="15">
        <f t="shared" si="75"/>
        <v>1000</v>
      </c>
      <c r="G83" s="15">
        <f t="shared" si="75"/>
        <v>1000</v>
      </c>
      <c r="H83" s="15">
        <f t="shared" si="75"/>
        <v>1000</v>
      </c>
      <c r="I83" s="15">
        <f t="shared" si="75"/>
        <v>1000</v>
      </c>
      <c r="J83" s="15">
        <f t="shared" si="75"/>
        <v>1000</v>
      </c>
      <c r="K83" s="15">
        <f t="shared" si="75"/>
        <v>1000</v>
      </c>
      <c r="L83" s="15">
        <f t="shared" si="75"/>
        <v>1000</v>
      </c>
      <c r="M83" s="15">
        <f t="shared" si="75"/>
        <v>1000</v>
      </c>
      <c r="N83" s="15">
        <f t="shared" si="75"/>
        <v>1000</v>
      </c>
      <c r="O83" s="15">
        <f t="shared" si="75"/>
        <v>1000</v>
      </c>
      <c r="P83" s="15">
        <f>SUM(D83:O83)</f>
        <v>12000</v>
      </c>
      <c r="Q83" s="122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</row>
    <row r="84" spans="1:255" x14ac:dyDescent="0.3">
      <c r="A84" s="23"/>
      <c r="B84" s="20" t="s">
        <v>84</v>
      </c>
      <c r="C84" s="26">
        <f>P84/$P$8</f>
        <v>3.2588440588958441E-2</v>
      </c>
      <c r="D84" s="17">
        <f>SUM(D80:D83)</f>
        <v>79000</v>
      </c>
      <c r="E84" s="17">
        <f t="shared" ref="E84:P84" si="76">SUM(E80:E83)</f>
        <v>79000</v>
      </c>
      <c r="F84" s="17">
        <f t="shared" si="76"/>
        <v>79000</v>
      </c>
      <c r="G84" s="17">
        <f t="shared" si="76"/>
        <v>79000</v>
      </c>
      <c r="H84" s="17">
        <f t="shared" si="76"/>
        <v>79000</v>
      </c>
      <c r="I84" s="17">
        <f t="shared" si="76"/>
        <v>79000</v>
      </c>
      <c r="J84" s="17">
        <f t="shared" si="76"/>
        <v>79000</v>
      </c>
      <c r="K84" s="17">
        <f t="shared" si="76"/>
        <v>79000</v>
      </c>
      <c r="L84" s="17">
        <f t="shared" si="76"/>
        <v>79000</v>
      </c>
      <c r="M84" s="17">
        <f t="shared" si="76"/>
        <v>79000</v>
      </c>
      <c r="N84" s="17">
        <f t="shared" si="76"/>
        <v>79000</v>
      </c>
      <c r="O84" s="17">
        <f t="shared" si="76"/>
        <v>79000</v>
      </c>
      <c r="P84" s="17">
        <f t="shared" si="76"/>
        <v>948000</v>
      </c>
    </row>
    <row r="85" spans="1:255" x14ac:dyDescent="0.3">
      <c r="A85" s="23"/>
      <c r="B85" s="23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255" s="13" customFormat="1" x14ac:dyDescent="0.3">
      <c r="A86" s="23" t="s">
        <v>85</v>
      </c>
      <c r="B86" s="43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22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</row>
    <row r="87" spans="1:255" x14ac:dyDescent="0.3">
      <c r="A87" s="22">
        <v>6800</v>
      </c>
      <c r="B87" s="43" t="s">
        <v>87</v>
      </c>
      <c r="C87" s="14">
        <f t="shared" ref="C87:C92" si="77">P87/$P$8</f>
        <v>4.1251190618934736E-4</v>
      </c>
      <c r="D87" s="15">
        <v>1000</v>
      </c>
      <c r="E87" s="15">
        <f>D87</f>
        <v>1000</v>
      </c>
      <c r="F87" s="15">
        <f t="shared" ref="F87:O91" si="78">E87</f>
        <v>1000</v>
      </c>
      <c r="G87" s="15">
        <f t="shared" si="78"/>
        <v>1000</v>
      </c>
      <c r="H87" s="15">
        <f t="shared" si="78"/>
        <v>1000</v>
      </c>
      <c r="I87" s="15">
        <f t="shared" si="78"/>
        <v>1000</v>
      </c>
      <c r="J87" s="15">
        <f t="shared" si="78"/>
        <v>1000</v>
      </c>
      <c r="K87" s="15">
        <f t="shared" si="78"/>
        <v>1000</v>
      </c>
      <c r="L87" s="15">
        <f t="shared" si="78"/>
        <v>1000</v>
      </c>
      <c r="M87" s="15">
        <f t="shared" si="78"/>
        <v>1000</v>
      </c>
      <c r="N87" s="15">
        <f t="shared" si="78"/>
        <v>1000</v>
      </c>
      <c r="O87" s="15">
        <f t="shared" si="78"/>
        <v>1000</v>
      </c>
      <c r="P87" s="15">
        <f>SUM(D87:O87)</f>
        <v>12000</v>
      </c>
    </row>
    <row r="88" spans="1:255" x14ac:dyDescent="0.3">
      <c r="A88" s="22">
        <v>6840</v>
      </c>
      <c r="B88" s="43" t="s">
        <v>180</v>
      </c>
      <c r="C88" s="14">
        <f t="shared" si="77"/>
        <v>2.0625595309467368E-4</v>
      </c>
      <c r="D88" s="15">
        <v>500</v>
      </c>
      <c r="E88" s="15">
        <f>D88</f>
        <v>500</v>
      </c>
      <c r="F88" s="15">
        <f t="shared" ref="F88:O88" si="79">E88</f>
        <v>500</v>
      </c>
      <c r="G88" s="15">
        <f t="shared" si="79"/>
        <v>500</v>
      </c>
      <c r="H88" s="15">
        <f t="shared" si="79"/>
        <v>500</v>
      </c>
      <c r="I88" s="15">
        <f t="shared" si="79"/>
        <v>500</v>
      </c>
      <c r="J88" s="15">
        <f t="shared" si="79"/>
        <v>500</v>
      </c>
      <c r="K88" s="15">
        <f t="shared" si="79"/>
        <v>500</v>
      </c>
      <c r="L88" s="15">
        <f t="shared" si="79"/>
        <v>500</v>
      </c>
      <c r="M88" s="15">
        <f t="shared" si="79"/>
        <v>500</v>
      </c>
      <c r="N88" s="15">
        <f t="shared" si="79"/>
        <v>500</v>
      </c>
      <c r="O88" s="15">
        <f t="shared" si="79"/>
        <v>500</v>
      </c>
      <c r="P88" s="15">
        <f>SUM(D88:O88)</f>
        <v>6000</v>
      </c>
    </row>
    <row r="89" spans="1:255" x14ac:dyDescent="0.3">
      <c r="A89" s="22">
        <v>6890</v>
      </c>
      <c r="B89" s="43" t="s">
        <v>89</v>
      </c>
      <c r="C89" s="14">
        <f t="shared" si="77"/>
        <v>4.1251190618934736E-4</v>
      </c>
      <c r="D89" s="15">
        <v>1000</v>
      </c>
      <c r="E89" s="15">
        <f>D89</f>
        <v>1000</v>
      </c>
      <c r="F89" s="15">
        <f t="shared" si="78"/>
        <v>1000</v>
      </c>
      <c r="G89" s="15">
        <f t="shared" si="78"/>
        <v>1000</v>
      </c>
      <c r="H89" s="15">
        <f t="shared" si="78"/>
        <v>1000</v>
      </c>
      <c r="I89" s="15">
        <f t="shared" si="78"/>
        <v>1000</v>
      </c>
      <c r="J89" s="15">
        <f t="shared" si="78"/>
        <v>1000</v>
      </c>
      <c r="K89" s="15">
        <f t="shared" si="78"/>
        <v>1000</v>
      </c>
      <c r="L89" s="15">
        <f t="shared" si="78"/>
        <v>1000</v>
      </c>
      <c r="M89" s="15">
        <f t="shared" si="78"/>
        <v>1000</v>
      </c>
      <c r="N89" s="15">
        <f t="shared" si="78"/>
        <v>1000</v>
      </c>
      <c r="O89" s="15">
        <f t="shared" si="78"/>
        <v>1000</v>
      </c>
      <c r="P89" s="15">
        <f>SUM(D89:O89)</f>
        <v>12000</v>
      </c>
    </row>
    <row r="90" spans="1:255" x14ac:dyDescent="0.3">
      <c r="A90" s="22">
        <v>6900</v>
      </c>
      <c r="B90" s="43" t="s">
        <v>204</v>
      </c>
      <c r="C90" s="14">
        <f t="shared" si="77"/>
        <v>4.1251190618934736E-4</v>
      </c>
      <c r="D90" s="15">
        <v>1000</v>
      </c>
      <c r="E90" s="15">
        <f>D90</f>
        <v>1000</v>
      </c>
      <c r="F90" s="15">
        <f t="shared" si="78"/>
        <v>1000</v>
      </c>
      <c r="G90" s="15">
        <f t="shared" si="78"/>
        <v>1000</v>
      </c>
      <c r="H90" s="15">
        <f t="shared" si="78"/>
        <v>1000</v>
      </c>
      <c r="I90" s="15">
        <f t="shared" si="78"/>
        <v>1000</v>
      </c>
      <c r="J90" s="15">
        <f t="shared" si="78"/>
        <v>1000</v>
      </c>
      <c r="K90" s="15">
        <f t="shared" si="78"/>
        <v>1000</v>
      </c>
      <c r="L90" s="15">
        <f t="shared" si="78"/>
        <v>1000</v>
      </c>
      <c r="M90" s="15">
        <f t="shared" si="78"/>
        <v>1000</v>
      </c>
      <c r="N90" s="15">
        <f t="shared" si="78"/>
        <v>1000</v>
      </c>
      <c r="O90" s="15">
        <f t="shared" si="78"/>
        <v>1000</v>
      </c>
      <c r="P90" s="15">
        <f>SUM(D90:O90)</f>
        <v>12000</v>
      </c>
    </row>
    <row r="91" spans="1:255" x14ac:dyDescent="0.3">
      <c r="A91" s="22">
        <v>6903</v>
      </c>
      <c r="B91" s="43" t="s">
        <v>203</v>
      </c>
      <c r="C91" s="14">
        <f t="shared" si="77"/>
        <v>1.2375357185680422E-3</v>
      </c>
      <c r="D91" s="15">
        <v>3000</v>
      </c>
      <c r="E91" s="15">
        <f>D91</f>
        <v>3000</v>
      </c>
      <c r="F91" s="15">
        <f t="shared" si="78"/>
        <v>3000</v>
      </c>
      <c r="G91" s="15">
        <f t="shared" si="78"/>
        <v>3000</v>
      </c>
      <c r="H91" s="15">
        <f t="shared" si="78"/>
        <v>3000</v>
      </c>
      <c r="I91" s="15">
        <f t="shared" si="78"/>
        <v>3000</v>
      </c>
      <c r="J91" s="15">
        <f t="shared" si="78"/>
        <v>3000</v>
      </c>
      <c r="K91" s="15">
        <f t="shared" si="78"/>
        <v>3000</v>
      </c>
      <c r="L91" s="15">
        <f t="shared" si="78"/>
        <v>3000</v>
      </c>
      <c r="M91" s="15">
        <f t="shared" si="78"/>
        <v>3000</v>
      </c>
      <c r="N91" s="15">
        <f t="shared" si="78"/>
        <v>3000</v>
      </c>
      <c r="O91" s="15">
        <f t="shared" si="78"/>
        <v>3000</v>
      </c>
      <c r="P91" s="15">
        <f>SUM(D91:O91)</f>
        <v>36000</v>
      </c>
    </row>
    <row r="92" spans="1:255" x14ac:dyDescent="0.3">
      <c r="A92" s="23"/>
      <c r="B92" s="20" t="s">
        <v>86</v>
      </c>
      <c r="C92" s="26">
        <f t="shared" si="77"/>
        <v>2.6813273902307581E-3</v>
      </c>
      <c r="D92" s="17">
        <f t="shared" ref="D92:P92" si="80">SUM(D87:D91)</f>
        <v>6500</v>
      </c>
      <c r="E92" s="17">
        <f t="shared" si="80"/>
        <v>6500</v>
      </c>
      <c r="F92" s="17">
        <f t="shared" si="80"/>
        <v>6500</v>
      </c>
      <c r="G92" s="17">
        <f t="shared" si="80"/>
        <v>6500</v>
      </c>
      <c r="H92" s="17">
        <f t="shared" si="80"/>
        <v>6500</v>
      </c>
      <c r="I92" s="17">
        <f t="shared" si="80"/>
        <v>6500</v>
      </c>
      <c r="J92" s="17">
        <f t="shared" si="80"/>
        <v>6500</v>
      </c>
      <c r="K92" s="17">
        <f t="shared" si="80"/>
        <v>6500</v>
      </c>
      <c r="L92" s="17">
        <f t="shared" si="80"/>
        <v>6500</v>
      </c>
      <c r="M92" s="17">
        <f t="shared" si="80"/>
        <v>6500</v>
      </c>
      <c r="N92" s="17">
        <f t="shared" si="80"/>
        <v>6500</v>
      </c>
      <c r="O92" s="17">
        <f t="shared" si="80"/>
        <v>6500</v>
      </c>
      <c r="P92" s="17">
        <f t="shared" si="80"/>
        <v>78000</v>
      </c>
    </row>
    <row r="93" spans="1:255" x14ac:dyDescent="0.3">
      <c r="A93" s="23"/>
      <c r="B93" s="23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255" x14ac:dyDescent="0.3">
      <c r="A94" s="23" t="s">
        <v>90</v>
      </c>
      <c r="B94" s="21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255" x14ac:dyDescent="0.3">
      <c r="A95" s="22">
        <v>7000</v>
      </c>
      <c r="B95" s="21" t="s">
        <v>47</v>
      </c>
      <c r="C95" s="14">
        <f>P95/$P$8</f>
        <v>5.7751666866508638E-3</v>
      </c>
      <c r="D95" s="15">
        <v>14000</v>
      </c>
      <c r="E95" s="15">
        <f>D95</f>
        <v>14000</v>
      </c>
      <c r="F95" s="15">
        <f t="shared" ref="F95:O98" si="81">E95</f>
        <v>14000</v>
      </c>
      <c r="G95" s="15">
        <f t="shared" si="81"/>
        <v>14000</v>
      </c>
      <c r="H95" s="15">
        <f t="shared" si="81"/>
        <v>14000</v>
      </c>
      <c r="I95" s="15">
        <f t="shared" si="81"/>
        <v>14000</v>
      </c>
      <c r="J95" s="15">
        <f t="shared" si="81"/>
        <v>14000</v>
      </c>
      <c r="K95" s="15">
        <f t="shared" si="81"/>
        <v>14000</v>
      </c>
      <c r="L95" s="15">
        <f t="shared" si="81"/>
        <v>14000</v>
      </c>
      <c r="M95" s="15">
        <f t="shared" si="81"/>
        <v>14000</v>
      </c>
      <c r="N95" s="15">
        <f t="shared" si="81"/>
        <v>14000</v>
      </c>
      <c r="O95" s="15">
        <f t="shared" si="81"/>
        <v>14000</v>
      </c>
      <c r="P95" s="15">
        <f>SUM(D95:O95)</f>
        <v>168000</v>
      </c>
    </row>
    <row r="96" spans="1:255" x14ac:dyDescent="0.3">
      <c r="A96" s="22">
        <v>7020</v>
      </c>
      <c r="B96" s="21" t="s">
        <v>48</v>
      </c>
      <c r="C96" s="14">
        <f>P96/$P$8</f>
        <v>5.3626547804615163E-3</v>
      </c>
      <c r="D96" s="15">
        <v>13000</v>
      </c>
      <c r="E96" s="15">
        <f>D96</f>
        <v>13000</v>
      </c>
      <c r="F96" s="15">
        <f t="shared" si="81"/>
        <v>13000</v>
      </c>
      <c r="G96" s="15">
        <f t="shared" si="81"/>
        <v>13000</v>
      </c>
      <c r="H96" s="15">
        <f t="shared" si="81"/>
        <v>13000</v>
      </c>
      <c r="I96" s="15">
        <f t="shared" si="81"/>
        <v>13000</v>
      </c>
      <c r="J96" s="15">
        <f t="shared" si="81"/>
        <v>13000</v>
      </c>
      <c r="K96" s="15">
        <f t="shared" si="81"/>
        <v>13000</v>
      </c>
      <c r="L96" s="15">
        <f t="shared" si="81"/>
        <v>13000</v>
      </c>
      <c r="M96" s="15">
        <f t="shared" si="81"/>
        <v>13000</v>
      </c>
      <c r="N96" s="15">
        <f t="shared" si="81"/>
        <v>13000</v>
      </c>
      <c r="O96" s="15">
        <f t="shared" si="81"/>
        <v>13000</v>
      </c>
      <c r="P96" s="15">
        <f>SUM(D96:O96)</f>
        <v>156000</v>
      </c>
    </row>
    <row r="97" spans="1:17" s="7" customFormat="1" x14ac:dyDescent="0.3">
      <c r="A97" s="22">
        <v>7040</v>
      </c>
      <c r="B97" s="43" t="s">
        <v>377</v>
      </c>
      <c r="C97" s="14">
        <f>P97/$P$8</f>
        <v>0</v>
      </c>
      <c r="D97" s="15"/>
      <c r="E97" s="15">
        <f>D97</f>
        <v>0</v>
      </c>
      <c r="F97" s="15">
        <f t="shared" si="81"/>
        <v>0</v>
      </c>
      <c r="G97" s="15">
        <f t="shared" si="81"/>
        <v>0</v>
      </c>
      <c r="H97" s="15">
        <f t="shared" si="81"/>
        <v>0</v>
      </c>
      <c r="I97" s="15">
        <f t="shared" si="81"/>
        <v>0</v>
      </c>
      <c r="J97" s="15">
        <f t="shared" si="81"/>
        <v>0</v>
      </c>
      <c r="K97" s="15">
        <f t="shared" si="81"/>
        <v>0</v>
      </c>
      <c r="L97" s="15">
        <f t="shared" si="81"/>
        <v>0</v>
      </c>
      <c r="M97" s="15">
        <f t="shared" si="81"/>
        <v>0</v>
      </c>
      <c r="N97" s="15">
        <f t="shared" si="81"/>
        <v>0</v>
      </c>
      <c r="O97" s="15">
        <f t="shared" si="81"/>
        <v>0</v>
      </c>
      <c r="P97" s="15">
        <f>SUM(D97:O97)</f>
        <v>0</v>
      </c>
      <c r="Q97" s="121"/>
    </row>
    <row r="98" spans="1:17" s="7" customFormat="1" x14ac:dyDescent="0.3">
      <c r="A98" s="22">
        <v>7090</v>
      </c>
      <c r="B98" s="43" t="s">
        <v>92</v>
      </c>
      <c r="C98" s="14">
        <f>P98/$P$8</f>
        <v>6.1876785928402104E-3</v>
      </c>
      <c r="D98" s="15">
        <v>15000</v>
      </c>
      <c r="E98" s="15">
        <f>D98</f>
        <v>15000</v>
      </c>
      <c r="F98" s="15">
        <f t="shared" si="81"/>
        <v>15000</v>
      </c>
      <c r="G98" s="15">
        <f t="shared" si="81"/>
        <v>15000</v>
      </c>
      <c r="H98" s="15">
        <f t="shared" si="81"/>
        <v>15000</v>
      </c>
      <c r="I98" s="15">
        <f t="shared" si="81"/>
        <v>15000</v>
      </c>
      <c r="J98" s="15">
        <f t="shared" si="81"/>
        <v>15000</v>
      </c>
      <c r="K98" s="15">
        <f t="shared" si="81"/>
        <v>15000</v>
      </c>
      <c r="L98" s="15">
        <f t="shared" si="81"/>
        <v>15000</v>
      </c>
      <c r="M98" s="15">
        <f t="shared" si="81"/>
        <v>15000</v>
      </c>
      <c r="N98" s="15">
        <f t="shared" si="81"/>
        <v>15000</v>
      </c>
      <c r="O98" s="15">
        <f t="shared" si="81"/>
        <v>15000</v>
      </c>
      <c r="P98" s="15">
        <f>SUM(D98:O98)</f>
        <v>180000</v>
      </c>
      <c r="Q98" s="121"/>
    </row>
    <row r="99" spans="1:17" s="7" customFormat="1" x14ac:dyDescent="0.3">
      <c r="A99" s="23"/>
      <c r="B99" s="20" t="s">
        <v>91</v>
      </c>
      <c r="C99" s="26">
        <f>P99/$P$8</f>
        <v>1.7325500059952589E-2</v>
      </c>
      <c r="D99" s="17">
        <f>SUM(D95:D98)</f>
        <v>42000</v>
      </c>
      <c r="E99" s="17">
        <f t="shared" ref="E99:P99" si="82">SUM(E95:E98)</f>
        <v>42000</v>
      </c>
      <c r="F99" s="17">
        <f t="shared" si="82"/>
        <v>42000</v>
      </c>
      <c r="G99" s="17">
        <f t="shared" si="82"/>
        <v>42000</v>
      </c>
      <c r="H99" s="17">
        <f t="shared" si="82"/>
        <v>42000</v>
      </c>
      <c r="I99" s="17">
        <f t="shared" si="82"/>
        <v>42000</v>
      </c>
      <c r="J99" s="17">
        <f t="shared" si="82"/>
        <v>42000</v>
      </c>
      <c r="K99" s="17">
        <f t="shared" si="82"/>
        <v>42000</v>
      </c>
      <c r="L99" s="17">
        <f t="shared" si="82"/>
        <v>42000</v>
      </c>
      <c r="M99" s="17">
        <f t="shared" si="82"/>
        <v>42000</v>
      </c>
      <c r="N99" s="17">
        <f t="shared" si="82"/>
        <v>42000</v>
      </c>
      <c r="O99" s="17">
        <f t="shared" si="82"/>
        <v>42000</v>
      </c>
      <c r="P99" s="17">
        <f t="shared" si="82"/>
        <v>504000</v>
      </c>
      <c r="Q99" s="121"/>
    </row>
    <row r="100" spans="1:17" s="7" customFormat="1" x14ac:dyDescent="0.3">
      <c r="A100" s="23"/>
      <c r="B100" s="23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21"/>
    </row>
    <row r="101" spans="1:17" x14ac:dyDescent="0.3">
      <c r="A101" s="23" t="s">
        <v>129</v>
      </c>
      <c r="B101" s="21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7" x14ac:dyDescent="0.3">
      <c r="A102" s="22">
        <v>7100</v>
      </c>
      <c r="B102" s="43" t="s">
        <v>94</v>
      </c>
      <c r="C102" s="14">
        <f>P102/$P$8</f>
        <v>2.0625595309467369E-3</v>
      </c>
      <c r="D102" s="15">
        <v>5000</v>
      </c>
      <c r="E102" s="15">
        <f t="shared" ref="E102:O102" si="83">D102</f>
        <v>5000</v>
      </c>
      <c r="F102" s="15">
        <f t="shared" si="83"/>
        <v>5000</v>
      </c>
      <c r="G102" s="15">
        <f t="shared" si="83"/>
        <v>5000</v>
      </c>
      <c r="H102" s="15">
        <f t="shared" si="83"/>
        <v>5000</v>
      </c>
      <c r="I102" s="15">
        <f t="shared" si="83"/>
        <v>5000</v>
      </c>
      <c r="J102" s="15">
        <f t="shared" si="83"/>
        <v>5000</v>
      </c>
      <c r="K102" s="15">
        <f t="shared" si="83"/>
        <v>5000</v>
      </c>
      <c r="L102" s="15">
        <f t="shared" si="83"/>
        <v>5000</v>
      </c>
      <c r="M102" s="15">
        <f t="shared" si="83"/>
        <v>5000</v>
      </c>
      <c r="N102" s="15">
        <f t="shared" si="83"/>
        <v>5000</v>
      </c>
      <c r="O102" s="15">
        <f t="shared" si="83"/>
        <v>5000</v>
      </c>
      <c r="P102" s="15">
        <f>SUM(D102:O102)</f>
        <v>60000</v>
      </c>
    </row>
    <row r="103" spans="1:17" x14ac:dyDescent="0.3">
      <c r="A103" s="22">
        <v>7140</v>
      </c>
      <c r="B103" s="43" t="s">
        <v>95</v>
      </c>
      <c r="C103" s="14">
        <f>P103/$P$8</f>
        <v>1.2375357185680422E-3</v>
      </c>
      <c r="D103" s="15">
        <v>3000</v>
      </c>
      <c r="E103" s="15">
        <f t="shared" ref="E103:O103" si="84">D103</f>
        <v>3000</v>
      </c>
      <c r="F103" s="15">
        <f t="shared" si="84"/>
        <v>3000</v>
      </c>
      <c r="G103" s="15">
        <f t="shared" si="84"/>
        <v>3000</v>
      </c>
      <c r="H103" s="15">
        <f t="shared" si="84"/>
        <v>3000</v>
      </c>
      <c r="I103" s="15">
        <f t="shared" si="84"/>
        <v>3000</v>
      </c>
      <c r="J103" s="15">
        <f t="shared" si="84"/>
        <v>3000</v>
      </c>
      <c r="K103" s="15">
        <f t="shared" si="84"/>
        <v>3000</v>
      </c>
      <c r="L103" s="15">
        <f t="shared" si="84"/>
        <v>3000</v>
      </c>
      <c r="M103" s="15">
        <f t="shared" si="84"/>
        <v>3000</v>
      </c>
      <c r="N103" s="15">
        <f t="shared" si="84"/>
        <v>3000</v>
      </c>
      <c r="O103" s="15">
        <f t="shared" si="84"/>
        <v>3000</v>
      </c>
      <c r="P103" s="15">
        <f>SUM(D103:O103)</f>
        <v>36000</v>
      </c>
    </row>
    <row r="104" spans="1:17" s="7" customFormat="1" x14ac:dyDescent="0.3">
      <c r="A104" s="22">
        <v>7150</v>
      </c>
      <c r="B104" s="43" t="s">
        <v>96</v>
      </c>
      <c r="C104" s="14">
        <f>P104/$P$8</f>
        <v>4.1251190618934736E-4</v>
      </c>
      <c r="D104" s="15">
        <v>1000</v>
      </c>
      <c r="E104" s="15">
        <f t="shared" ref="E104:O104" si="85">D104</f>
        <v>1000</v>
      </c>
      <c r="F104" s="15">
        <f t="shared" si="85"/>
        <v>1000</v>
      </c>
      <c r="G104" s="15">
        <f t="shared" si="85"/>
        <v>1000</v>
      </c>
      <c r="H104" s="15">
        <f t="shared" si="85"/>
        <v>1000</v>
      </c>
      <c r="I104" s="15">
        <f t="shared" si="85"/>
        <v>1000</v>
      </c>
      <c r="J104" s="15">
        <f t="shared" si="85"/>
        <v>1000</v>
      </c>
      <c r="K104" s="15">
        <f t="shared" si="85"/>
        <v>1000</v>
      </c>
      <c r="L104" s="15">
        <f t="shared" si="85"/>
        <v>1000</v>
      </c>
      <c r="M104" s="15">
        <f t="shared" si="85"/>
        <v>1000</v>
      </c>
      <c r="N104" s="15">
        <f t="shared" si="85"/>
        <v>1000</v>
      </c>
      <c r="O104" s="15">
        <f t="shared" si="85"/>
        <v>1000</v>
      </c>
      <c r="P104" s="15">
        <f>SUM(D104:O104)</f>
        <v>12000</v>
      </c>
      <c r="Q104" s="121"/>
    </row>
    <row r="105" spans="1:17" s="7" customFormat="1" x14ac:dyDescent="0.3">
      <c r="A105" s="22">
        <v>7160</v>
      </c>
      <c r="B105" s="43" t="s">
        <v>97</v>
      </c>
      <c r="C105" s="14">
        <f>P105/$P$8</f>
        <v>4.1251190618934736E-4</v>
      </c>
      <c r="D105" s="15">
        <v>1000</v>
      </c>
      <c r="E105" s="15">
        <f t="shared" ref="E105:O105" si="86">D105</f>
        <v>1000</v>
      </c>
      <c r="F105" s="15">
        <f t="shared" si="86"/>
        <v>1000</v>
      </c>
      <c r="G105" s="15">
        <f t="shared" si="86"/>
        <v>1000</v>
      </c>
      <c r="H105" s="15">
        <f t="shared" si="86"/>
        <v>1000</v>
      </c>
      <c r="I105" s="15">
        <f t="shared" si="86"/>
        <v>1000</v>
      </c>
      <c r="J105" s="15">
        <f t="shared" si="86"/>
        <v>1000</v>
      </c>
      <c r="K105" s="15">
        <f t="shared" si="86"/>
        <v>1000</v>
      </c>
      <c r="L105" s="15">
        <f t="shared" si="86"/>
        <v>1000</v>
      </c>
      <c r="M105" s="15">
        <f t="shared" si="86"/>
        <v>1000</v>
      </c>
      <c r="N105" s="15">
        <f t="shared" si="86"/>
        <v>1000</v>
      </c>
      <c r="O105" s="15">
        <f t="shared" si="86"/>
        <v>1000</v>
      </c>
      <c r="P105" s="15">
        <f>SUM(D105:O105)</f>
        <v>12000</v>
      </c>
      <c r="Q105" s="121"/>
    </row>
    <row r="106" spans="1:17" s="7" customFormat="1" x14ac:dyDescent="0.3">
      <c r="A106" s="23"/>
      <c r="B106" s="20" t="s">
        <v>93</v>
      </c>
      <c r="C106" s="26">
        <f>P106/$P$8</f>
        <v>4.1251190618934739E-3</v>
      </c>
      <c r="D106" s="17">
        <f t="shared" ref="D106:P106" si="87">SUM(D102:D105)</f>
        <v>10000</v>
      </c>
      <c r="E106" s="17">
        <f t="shared" si="87"/>
        <v>10000</v>
      </c>
      <c r="F106" s="17">
        <f t="shared" si="87"/>
        <v>10000</v>
      </c>
      <c r="G106" s="17">
        <f t="shared" si="87"/>
        <v>10000</v>
      </c>
      <c r="H106" s="17">
        <f t="shared" si="87"/>
        <v>10000</v>
      </c>
      <c r="I106" s="17">
        <f t="shared" si="87"/>
        <v>10000</v>
      </c>
      <c r="J106" s="17">
        <f t="shared" si="87"/>
        <v>10000</v>
      </c>
      <c r="K106" s="17">
        <f t="shared" si="87"/>
        <v>10000</v>
      </c>
      <c r="L106" s="17">
        <f t="shared" si="87"/>
        <v>10000</v>
      </c>
      <c r="M106" s="17">
        <f t="shared" si="87"/>
        <v>10000</v>
      </c>
      <c r="N106" s="17">
        <f t="shared" si="87"/>
        <v>10000</v>
      </c>
      <c r="O106" s="17">
        <f t="shared" si="87"/>
        <v>10000</v>
      </c>
      <c r="P106" s="17">
        <f t="shared" si="87"/>
        <v>120000</v>
      </c>
      <c r="Q106" s="121"/>
    </row>
    <row r="107" spans="1:17" s="7" customFormat="1" x14ac:dyDescent="0.3">
      <c r="A107" s="23"/>
      <c r="B107" s="23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21"/>
    </row>
    <row r="108" spans="1:17" x14ac:dyDescent="0.3">
      <c r="A108" s="23" t="s">
        <v>98</v>
      </c>
      <c r="B108" s="21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7" x14ac:dyDescent="0.3">
      <c r="A109" s="22">
        <v>7320</v>
      </c>
      <c r="B109" s="43" t="s">
        <v>100</v>
      </c>
      <c r="C109" s="14">
        <f>P109/$P$8</f>
        <v>1.4437916716627159E-3</v>
      </c>
      <c r="D109" s="15">
        <v>3500</v>
      </c>
      <c r="E109" s="15">
        <f t="shared" ref="E109:O109" si="88">D109</f>
        <v>3500</v>
      </c>
      <c r="F109" s="15">
        <f t="shared" si="88"/>
        <v>3500</v>
      </c>
      <c r="G109" s="15">
        <f t="shared" si="88"/>
        <v>3500</v>
      </c>
      <c r="H109" s="15">
        <f t="shared" si="88"/>
        <v>3500</v>
      </c>
      <c r="I109" s="15">
        <f t="shared" si="88"/>
        <v>3500</v>
      </c>
      <c r="J109" s="15">
        <f t="shared" si="88"/>
        <v>3500</v>
      </c>
      <c r="K109" s="15">
        <f t="shared" si="88"/>
        <v>3500</v>
      </c>
      <c r="L109" s="15">
        <f t="shared" si="88"/>
        <v>3500</v>
      </c>
      <c r="M109" s="15">
        <f t="shared" si="88"/>
        <v>3500</v>
      </c>
      <c r="N109" s="15">
        <f t="shared" si="88"/>
        <v>3500</v>
      </c>
      <c r="O109" s="15">
        <f t="shared" si="88"/>
        <v>3500</v>
      </c>
      <c r="P109" s="15">
        <f>SUM(D109:O109)</f>
        <v>42000</v>
      </c>
    </row>
    <row r="110" spans="1:17" x14ac:dyDescent="0.3">
      <c r="A110" s="22">
        <v>7323</v>
      </c>
      <c r="B110" s="43" t="s">
        <v>101</v>
      </c>
      <c r="C110" s="14">
        <f>P110/$P$8</f>
        <v>1.2375357185680422E-3</v>
      </c>
      <c r="D110" s="15">
        <v>3000</v>
      </c>
      <c r="E110" s="15">
        <f t="shared" ref="E110:O110" si="89">D110</f>
        <v>3000</v>
      </c>
      <c r="F110" s="15">
        <f t="shared" si="89"/>
        <v>3000</v>
      </c>
      <c r="G110" s="15">
        <f t="shared" si="89"/>
        <v>3000</v>
      </c>
      <c r="H110" s="15">
        <f t="shared" si="89"/>
        <v>3000</v>
      </c>
      <c r="I110" s="15">
        <f t="shared" si="89"/>
        <v>3000</v>
      </c>
      <c r="J110" s="15">
        <f t="shared" si="89"/>
        <v>3000</v>
      </c>
      <c r="K110" s="15">
        <f t="shared" si="89"/>
        <v>3000</v>
      </c>
      <c r="L110" s="15">
        <f t="shared" si="89"/>
        <v>3000</v>
      </c>
      <c r="M110" s="15">
        <f t="shared" si="89"/>
        <v>3000</v>
      </c>
      <c r="N110" s="15">
        <f t="shared" si="89"/>
        <v>3000</v>
      </c>
      <c r="O110" s="15">
        <f t="shared" si="89"/>
        <v>3000</v>
      </c>
      <c r="P110" s="15">
        <f>SUM(D110:O110)</f>
        <v>36000</v>
      </c>
    </row>
    <row r="111" spans="1:17" s="7" customFormat="1" x14ac:dyDescent="0.3">
      <c r="A111" s="22">
        <v>7390</v>
      </c>
      <c r="B111" s="43" t="s">
        <v>102</v>
      </c>
      <c r="C111" s="14">
        <f>P111/$P$8</f>
        <v>4.1251190618934736E-4</v>
      </c>
      <c r="D111" s="15">
        <v>1000</v>
      </c>
      <c r="E111" s="15">
        <f t="shared" ref="E111:O111" si="90">D111</f>
        <v>1000</v>
      </c>
      <c r="F111" s="15">
        <f t="shared" si="90"/>
        <v>1000</v>
      </c>
      <c r="G111" s="15">
        <f t="shared" si="90"/>
        <v>1000</v>
      </c>
      <c r="H111" s="15">
        <f t="shared" si="90"/>
        <v>1000</v>
      </c>
      <c r="I111" s="15">
        <f t="shared" si="90"/>
        <v>1000</v>
      </c>
      <c r="J111" s="15">
        <f t="shared" si="90"/>
        <v>1000</v>
      </c>
      <c r="K111" s="15">
        <f t="shared" si="90"/>
        <v>1000</v>
      </c>
      <c r="L111" s="15">
        <f t="shared" si="90"/>
        <v>1000</v>
      </c>
      <c r="M111" s="15">
        <f t="shared" si="90"/>
        <v>1000</v>
      </c>
      <c r="N111" s="15">
        <f t="shared" si="90"/>
        <v>1000</v>
      </c>
      <c r="O111" s="15">
        <f t="shared" si="90"/>
        <v>1000</v>
      </c>
      <c r="P111" s="15">
        <f>SUM(D111:O111)</f>
        <v>12000</v>
      </c>
      <c r="Q111" s="121"/>
    </row>
    <row r="112" spans="1:17" s="7" customFormat="1" x14ac:dyDescent="0.3">
      <c r="A112" s="23"/>
      <c r="B112" s="20" t="s">
        <v>99</v>
      </c>
      <c r="C112" s="26">
        <f>P112/$P$8</f>
        <v>3.0938392964201052E-3</v>
      </c>
      <c r="D112" s="17">
        <f t="shared" ref="D112:P112" si="91">SUM(D109:D111)</f>
        <v>7500</v>
      </c>
      <c r="E112" s="17">
        <f t="shared" si="91"/>
        <v>7500</v>
      </c>
      <c r="F112" s="17">
        <f t="shared" si="91"/>
        <v>7500</v>
      </c>
      <c r="G112" s="17">
        <f t="shared" si="91"/>
        <v>7500</v>
      </c>
      <c r="H112" s="17">
        <f t="shared" si="91"/>
        <v>7500</v>
      </c>
      <c r="I112" s="17">
        <f t="shared" si="91"/>
        <v>7500</v>
      </c>
      <c r="J112" s="17">
        <f t="shared" si="91"/>
        <v>7500</v>
      </c>
      <c r="K112" s="17">
        <f t="shared" si="91"/>
        <v>7500</v>
      </c>
      <c r="L112" s="17">
        <f t="shared" si="91"/>
        <v>7500</v>
      </c>
      <c r="M112" s="17">
        <f t="shared" si="91"/>
        <v>7500</v>
      </c>
      <c r="N112" s="17">
        <f t="shared" si="91"/>
        <v>7500</v>
      </c>
      <c r="O112" s="17">
        <f t="shared" si="91"/>
        <v>7500</v>
      </c>
      <c r="P112" s="17">
        <f t="shared" si="91"/>
        <v>90000</v>
      </c>
      <c r="Q112" s="121"/>
    </row>
    <row r="113" spans="1:17" s="7" customFormat="1" x14ac:dyDescent="0.3">
      <c r="A113" s="23"/>
      <c r="B113" s="23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21"/>
    </row>
    <row r="114" spans="1:17" x14ac:dyDescent="0.3">
      <c r="A114" s="23" t="s">
        <v>103</v>
      </c>
      <c r="B114" s="21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7" x14ac:dyDescent="0.3">
      <c r="A115" s="22">
        <v>7400</v>
      </c>
      <c r="B115" s="43" t="s">
        <v>105</v>
      </c>
      <c r="C115" s="14">
        <f>P115/$P$8</f>
        <v>6.187678592840211E-4</v>
      </c>
      <c r="D115" s="15">
        <v>1500</v>
      </c>
      <c r="E115" s="15">
        <f t="shared" ref="E115:O115" si="92">D115</f>
        <v>1500</v>
      </c>
      <c r="F115" s="15">
        <f t="shared" si="92"/>
        <v>1500</v>
      </c>
      <c r="G115" s="15">
        <f t="shared" si="92"/>
        <v>1500</v>
      </c>
      <c r="H115" s="15">
        <f t="shared" si="92"/>
        <v>1500</v>
      </c>
      <c r="I115" s="15">
        <f t="shared" si="92"/>
        <v>1500</v>
      </c>
      <c r="J115" s="15">
        <f t="shared" si="92"/>
        <v>1500</v>
      </c>
      <c r="K115" s="15">
        <f t="shared" si="92"/>
        <v>1500</v>
      </c>
      <c r="L115" s="15">
        <f t="shared" si="92"/>
        <v>1500</v>
      </c>
      <c r="M115" s="15">
        <f t="shared" si="92"/>
        <v>1500</v>
      </c>
      <c r="N115" s="15">
        <f t="shared" si="92"/>
        <v>1500</v>
      </c>
      <c r="O115" s="15">
        <f t="shared" si="92"/>
        <v>1500</v>
      </c>
      <c r="P115" s="15">
        <f>SUM(D115:O115)</f>
        <v>18000</v>
      </c>
    </row>
    <row r="116" spans="1:17" s="7" customFormat="1" x14ac:dyDescent="0.3">
      <c r="A116" s="23"/>
      <c r="B116" s="20" t="s">
        <v>104</v>
      </c>
      <c r="C116" s="26">
        <f>P116/$P$8</f>
        <v>6.187678592840211E-4</v>
      </c>
      <c r="D116" s="17">
        <f t="shared" ref="D116:P116" si="93">SUM(D115:D115)</f>
        <v>1500</v>
      </c>
      <c r="E116" s="17">
        <f t="shared" si="93"/>
        <v>1500</v>
      </c>
      <c r="F116" s="17">
        <f t="shared" si="93"/>
        <v>1500</v>
      </c>
      <c r="G116" s="17">
        <f t="shared" si="93"/>
        <v>1500</v>
      </c>
      <c r="H116" s="17">
        <f t="shared" si="93"/>
        <v>1500</v>
      </c>
      <c r="I116" s="17">
        <f t="shared" si="93"/>
        <v>1500</v>
      </c>
      <c r="J116" s="17">
        <f t="shared" si="93"/>
        <v>1500</v>
      </c>
      <c r="K116" s="17">
        <f t="shared" si="93"/>
        <v>1500</v>
      </c>
      <c r="L116" s="17">
        <f t="shared" si="93"/>
        <v>1500</v>
      </c>
      <c r="M116" s="17">
        <f t="shared" si="93"/>
        <v>1500</v>
      </c>
      <c r="N116" s="17">
        <f t="shared" si="93"/>
        <v>1500</v>
      </c>
      <c r="O116" s="17">
        <f t="shared" si="93"/>
        <v>1500</v>
      </c>
      <c r="P116" s="17">
        <f t="shared" si="93"/>
        <v>18000</v>
      </c>
      <c r="Q116" s="121"/>
    </row>
    <row r="117" spans="1:17" s="7" customFormat="1" x14ac:dyDescent="0.3">
      <c r="A117" s="23"/>
      <c r="B117" s="23"/>
      <c r="C117" s="14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21"/>
    </row>
    <row r="118" spans="1:17" x14ac:dyDescent="0.3">
      <c r="A118" s="23" t="s">
        <v>106</v>
      </c>
      <c r="B118" s="21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7" x14ac:dyDescent="0.3">
      <c r="A119" s="22">
        <v>7500</v>
      </c>
      <c r="B119" s="43" t="s">
        <v>107</v>
      </c>
      <c r="C119" s="14">
        <f>P119/$P$8</f>
        <v>4.9501428742721688E-3</v>
      </c>
      <c r="D119" s="15">
        <v>12000</v>
      </c>
      <c r="E119" s="15">
        <f t="shared" ref="E119:O119" si="94">D119</f>
        <v>12000</v>
      </c>
      <c r="F119" s="15">
        <f t="shared" si="94"/>
        <v>12000</v>
      </c>
      <c r="G119" s="15">
        <f t="shared" si="94"/>
        <v>12000</v>
      </c>
      <c r="H119" s="15">
        <f t="shared" si="94"/>
        <v>12000</v>
      </c>
      <c r="I119" s="15">
        <f t="shared" si="94"/>
        <v>12000</v>
      </c>
      <c r="J119" s="15">
        <f t="shared" si="94"/>
        <v>12000</v>
      </c>
      <c r="K119" s="15">
        <f t="shared" si="94"/>
        <v>12000</v>
      </c>
      <c r="L119" s="15">
        <f t="shared" si="94"/>
        <v>12000</v>
      </c>
      <c r="M119" s="15">
        <f t="shared" si="94"/>
        <v>12000</v>
      </c>
      <c r="N119" s="15">
        <f t="shared" si="94"/>
        <v>12000</v>
      </c>
      <c r="O119" s="15">
        <f t="shared" si="94"/>
        <v>12000</v>
      </c>
      <c r="P119" s="15">
        <f>SUM(D119:O119)</f>
        <v>144000</v>
      </c>
    </row>
    <row r="120" spans="1:17" x14ac:dyDescent="0.3">
      <c r="A120" s="22">
        <v>7560</v>
      </c>
      <c r="B120" s="43" t="s">
        <v>387</v>
      </c>
      <c r="C120" s="14">
        <f>P120/$P$8</f>
        <v>4.950142874272169E-4</v>
      </c>
      <c r="D120" s="15">
        <v>1200</v>
      </c>
      <c r="E120" s="15">
        <f t="shared" ref="E120" si="95">D120</f>
        <v>1200</v>
      </c>
      <c r="F120" s="15">
        <f t="shared" ref="F120" si="96">E120</f>
        <v>1200</v>
      </c>
      <c r="G120" s="15">
        <f t="shared" ref="G120" si="97">F120</f>
        <v>1200</v>
      </c>
      <c r="H120" s="15">
        <f t="shared" ref="H120" si="98">G120</f>
        <v>1200</v>
      </c>
      <c r="I120" s="15">
        <f t="shared" ref="I120" si="99">H120</f>
        <v>1200</v>
      </c>
      <c r="J120" s="15">
        <f t="shared" ref="J120" si="100">I120</f>
        <v>1200</v>
      </c>
      <c r="K120" s="15">
        <f t="shared" ref="K120" si="101">J120</f>
        <v>1200</v>
      </c>
      <c r="L120" s="15">
        <f t="shared" ref="L120" si="102">K120</f>
        <v>1200</v>
      </c>
      <c r="M120" s="15">
        <f t="shared" ref="M120" si="103">L120</f>
        <v>1200</v>
      </c>
      <c r="N120" s="15">
        <f t="shared" ref="N120" si="104">M120</f>
        <v>1200</v>
      </c>
      <c r="O120" s="15">
        <f t="shared" ref="O120" si="105">N120</f>
        <v>1200</v>
      </c>
      <c r="P120" s="15">
        <f>SUM(D120:O120)</f>
        <v>14400</v>
      </c>
    </row>
    <row r="121" spans="1:17" s="7" customFormat="1" x14ac:dyDescent="0.3">
      <c r="A121" s="23"/>
      <c r="B121" s="20" t="s">
        <v>108</v>
      </c>
      <c r="C121" s="26">
        <f>P121/$P$8</f>
        <v>4.9501428742721688E-3</v>
      </c>
      <c r="D121" s="17">
        <f t="shared" ref="D121:P121" si="106">SUM(D119:D119)</f>
        <v>12000</v>
      </c>
      <c r="E121" s="17">
        <f t="shared" si="106"/>
        <v>12000</v>
      </c>
      <c r="F121" s="17">
        <f t="shared" si="106"/>
        <v>12000</v>
      </c>
      <c r="G121" s="17">
        <f t="shared" si="106"/>
        <v>12000</v>
      </c>
      <c r="H121" s="17">
        <f t="shared" si="106"/>
        <v>12000</v>
      </c>
      <c r="I121" s="17">
        <f t="shared" si="106"/>
        <v>12000</v>
      </c>
      <c r="J121" s="17">
        <f t="shared" si="106"/>
        <v>12000</v>
      </c>
      <c r="K121" s="17">
        <f t="shared" si="106"/>
        <v>12000</v>
      </c>
      <c r="L121" s="17">
        <f t="shared" si="106"/>
        <v>12000</v>
      </c>
      <c r="M121" s="17">
        <f t="shared" si="106"/>
        <v>12000</v>
      </c>
      <c r="N121" s="17">
        <f t="shared" si="106"/>
        <v>12000</v>
      </c>
      <c r="O121" s="17">
        <f t="shared" si="106"/>
        <v>12000</v>
      </c>
      <c r="P121" s="17">
        <f t="shared" si="106"/>
        <v>144000</v>
      </c>
      <c r="Q121" s="121"/>
    </row>
    <row r="122" spans="1:17" s="7" customFormat="1" x14ac:dyDescent="0.3">
      <c r="A122" s="23"/>
      <c r="B122" s="23"/>
      <c r="C122" s="14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21"/>
    </row>
    <row r="123" spans="1:17" x14ac:dyDescent="0.3">
      <c r="A123" s="23" t="s">
        <v>109</v>
      </c>
      <c r="B123" s="21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7" x14ac:dyDescent="0.3">
      <c r="A124" s="22">
        <v>7710</v>
      </c>
      <c r="B124" s="43" t="s">
        <v>111</v>
      </c>
      <c r="C124" s="14">
        <f>P124/$P$8</f>
        <v>4.1251190618934736E-4</v>
      </c>
      <c r="D124" s="15">
        <v>1000</v>
      </c>
      <c r="E124" s="15">
        <f t="shared" ref="E124:O124" si="107">D124</f>
        <v>1000</v>
      </c>
      <c r="F124" s="15">
        <f t="shared" si="107"/>
        <v>1000</v>
      </c>
      <c r="G124" s="15">
        <f t="shared" si="107"/>
        <v>1000</v>
      </c>
      <c r="H124" s="15">
        <f t="shared" si="107"/>
        <v>1000</v>
      </c>
      <c r="I124" s="15">
        <f t="shared" si="107"/>
        <v>1000</v>
      </c>
      <c r="J124" s="15">
        <f t="shared" si="107"/>
        <v>1000</v>
      </c>
      <c r="K124" s="15">
        <f t="shared" si="107"/>
        <v>1000</v>
      </c>
      <c r="L124" s="15">
        <f t="shared" si="107"/>
        <v>1000</v>
      </c>
      <c r="M124" s="15">
        <f t="shared" si="107"/>
        <v>1000</v>
      </c>
      <c r="N124" s="15">
        <f t="shared" si="107"/>
        <v>1000</v>
      </c>
      <c r="O124" s="15">
        <f t="shared" si="107"/>
        <v>1000</v>
      </c>
      <c r="P124" s="15">
        <f>SUM(D124:O124)</f>
        <v>12000</v>
      </c>
    </row>
    <row r="125" spans="1:17" x14ac:dyDescent="0.3">
      <c r="A125" s="22">
        <v>7770</v>
      </c>
      <c r="B125" s="43" t="s">
        <v>112</v>
      </c>
      <c r="C125" s="14">
        <f>P125/$P$8</f>
        <v>4.1251190618934736E-4</v>
      </c>
      <c r="D125" s="15">
        <v>1000</v>
      </c>
      <c r="E125" s="15">
        <f t="shared" ref="E125:O125" si="108">D125</f>
        <v>1000</v>
      </c>
      <c r="F125" s="15">
        <f t="shared" si="108"/>
        <v>1000</v>
      </c>
      <c r="G125" s="15">
        <f t="shared" si="108"/>
        <v>1000</v>
      </c>
      <c r="H125" s="15">
        <f t="shared" si="108"/>
        <v>1000</v>
      </c>
      <c r="I125" s="15">
        <f t="shared" si="108"/>
        <v>1000</v>
      </c>
      <c r="J125" s="15">
        <f t="shared" si="108"/>
        <v>1000</v>
      </c>
      <c r="K125" s="15">
        <f t="shared" si="108"/>
        <v>1000</v>
      </c>
      <c r="L125" s="15">
        <f t="shared" si="108"/>
        <v>1000</v>
      </c>
      <c r="M125" s="15">
        <f t="shared" si="108"/>
        <v>1000</v>
      </c>
      <c r="N125" s="15">
        <f t="shared" si="108"/>
        <v>1000</v>
      </c>
      <c r="O125" s="15">
        <f t="shared" si="108"/>
        <v>1000</v>
      </c>
      <c r="P125" s="15">
        <f>SUM(D125:O125)</f>
        <v>12000</v>
      </c>
    </row>
    <row r="126" spans="1:17" s="7" customFormat="1" x14ac:dyDescent="0.3">
      <c r="A126" s="22">
        <v>7790</v>
      </c>
      <c r="B126" s="43" t="s">
        <v>113</v>
      </c>
      <c r="C126" s="14">
        <f>P126/$P$8</f>
        <v>2.0625595309467368E-4</v>
      </c>
      <c r="D126" s="15">
        <v>500</v>
      </c>
      <c r="E126" s="15">
        <f t="shared" ref="E126:O126" si="109">D126</f>
        <v>500</v>
      </c>
      <c r="F126" s="15">
        <f t="shared" si="109"/>
        <v>500</v>
      </c>
      <c r="G126" s="15">
        <f t="shared" si="109"/>
        <v>500</v>
      </c>
      <c r="H126" s="15">
        <f t="shared" si="109"/>
        <v>500</v>
      </c>
      <c r="I126" s="15">
        <f t="shared" si="109"/>
        <v>500</v>
      </c>
      <c r="J126" s="15">
        <f t="shared" si="109"/>
        <v>500</v>
      </c>
      <c r="K126" s="15">
        <f t="shared" si="109"/>
        <v>500</v>
      </c>
      <c r="L126" s="15">
        <f t="shared" si="109"/>
        <v>500</v>
      </c>
      <c r="M126" s="15">
        <f t="shared" si="109"/>
        <v>500</v>
      </c>
      <c r="N126" s="15">
        <f t="shared" si="109"/>
        <v>500</v>
      </c>
      <c r="O126" s="15">
        <f t="shared" si="109"/>
        <v>500</v>
      </c>
      <c r="P126" s="15">
        <f>SUM(D126:O126)</f>
        <v>6000</v>
      </c>
      <c r="Q126" s="121"/>
    </row>
    <row r="127" spans="1:17" s="7" customFormat="1" x14ac:dyDescent="0.3">
      <c r="A127" s="22">
        <v>7791</v>
      </c>
      <c r="B127" s="43" t="s">
        <v>114</v>
      </c>
      <c r="C127" s="14">
        <f>P127/$P$8</f>
        <v>2.0625595309467368E-4</v>
      </c>
      <c r="D127" s="15">
        <v>500</v>
      </c>
      <c r="E127" s="15">
        <f t="shared" ref="E127:O127" si="110">D127</f>
        <v>500</v>
      </c>
      <c r="F127" s="15">
        <f t="shared" si="110"/>
        <v>500</v>
      </c>
      <c r="G127" s="15">
        <f t="shared" si="110"/>
        <v>500</v>
      </c>
      <c r="H127" s="15">
        <f t="shared" si="110"/>
        <v>500</v>
      </c>
      <c r="I127" s="15">
        <f t="shared" si="110"/>
        <v>500</v>
      </c>
      <c r="J127" s="15">
        <f t="shared" si="110"/>
        <v>500</v>
      </c>
      <c r="K127" s="15">
        <f t="shared" si="110"/>
        <v>500</v>
      </c>
      <c r="L127" s="15">
        <f t="shared" si="110"/>
        <v>500</v>
      </c>
      <c r="M127" s="15">
        <f t="shared" si="110"/>
        <v>500</v>
      </c>
      <c r="N127" s="15">
        <f t="shared" si="110"/>
        <v>500</v>
      </c>
      <c r="O127" s="15">
        <f t="shared" si="110"/>
        <v>500</v>
      </c>
      <c r="P127" s="15">
        <f>SUM(D127:O127)</f>
        <v>6000</v>
      </c>
      <c r="Q127" s="121"/>
    </row>
    <row r="128" spans="1:17" s="7" customFormat="1" x14ac:dyDescent="0.3">
      <c r="A128" s="23"/>
      <c r="B128" s="20" t="s">
        <v>110</v>
      </c>
      <c r="C128" s="26">
        <f>P128/$P$8</f>
        <v>1.2375357185680422E-3</v>
      </c>
      <c r="D128" s="17">
        <f t="shared" ref="D128:P128" si="111">SUM(D124:D127)</f>
        <v>3000</v>
      </c>
      <c r="E128" s="17">
        <f t="shared" si="111"/>
        <v>3000</v>
      </c>
      <c r="F128" s="17">
        <f t="shared" si="111"/>
        <v>3000</v>
      </c>
      <c r="G128" s="17">
        <f t="shared" si="111"/>
        <v>3000</v>
      </c>
      <c r="H128" s="17">
        <f t="shared" si="111"/>
        <v>3000</v>
      </c>
      <c r="I128" s="17">
        <f t="shared" si="111"/>
        <v>3000</v>
      </c>
      <c r="J128" s="17">
        <f t="shared" si="111"/>
        <v>3000</v>
      </c>
      <c r="K128" s="17">
        <f t="shared" si="111"/>
        <v>3000</v>
      </c>
      <c r="L128" s="17">
        <f t="shared" si="111"/>
        <v>3000</v>
      </c>
      <c r="M128" s="17">
        <f t="shared" si="111"/>
        <v>3000</v>
      </c>
      <c r="N128" s="17">
        <f t="shared" si="111"/>
        <v>3000</v>
      </c>
      <c r="O128" s="17">
        <f t="shared" si="111"/>
        <v>3000</v>
      </c>
      <c r="P128" s="17">
        <f t="shared" si="111"/>
        <v>36000</v>
      </c>
      <c r="Q128" s="121"/>
    </row>
    <row r="129" spans="1:18" s="7" customFormat="1" x14ac:dyDescent="0.3">
      <c r="A129" s="23"/>
      <c r="B129" s="23"/>
      <c r="C129" s="14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21"/>
    </row>
    <row r="130" spans="1:18" x14ac:dyDescent="0.3">
      <c r="A130" s="23" t="s">
        <v>115</v>
      </c>
      <c r="B130" s="21"/>
      <c r="C130" s="14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8" x14ac:dyDescent="0.3">
      <c r="A131" s="22">
        <v>7830</v>
      </c>
      <c r="B131" s="43" t="s">
        <v>50</v>
      </c>
      <c r="C131" s="14">
        <f>P131/$P$8</f>
        <v>2.0625595309467369E-3</v>
      </c>
      <c r="D131" s="15">
        <v>5000</v>
      </c>
      <c r="E131" s="15">
        <f t="shared" ref="E131:O131" si="112">D131</f>
        <v>5000</v>
      </c>
      <c r="F131" s="15">
        <f t="shared" si="112"/>
        <v>5000</v>
      </c>
      <c r="G131" s="15">
        <f t="shared" si="112"/>
        <v>5000</v>
      </c>
      <c r="H131" s="15">
        <f t="shared" si="112"/>
        <v>5000</v>
      </c>
      <c r="I131" s="15">
        <f t="shared" si="112"/>
        <v>5000</v>
      </c>
      <c r="J131" s="15">
        <f t="shared" si="112"/>
        <v>5000</v>
      </c>
      <c r="K131" s="15">
        <f t="shared" si="112"/>
        <v>5000</v>
      </c>
      <c r="L131" s="15">
        <f t="shared" si="112"/>
        <v>5000</v>
      </c>
      <c r="M131" s="15">
        <f t="shared" si="112"/>
        <v>5000</v>
      </c>
      <c r="N131" s="15">
        <f t="shared" si="112"/>
        <v>5000</v>
      </c>
      <c r="O131" s="15">
        <f t="shared" si="112"/>
        <v>5000</v>
      </c>
      <c r="P131" s="15">
        <f>SUM(D131:O131)</f>
        <v>60000</v>
      </c>
    </row>
    <row r="132" spans="1:18" s="7" customFormat="1" x14ac:dyDescent="0.3">
      <c r="A132" s="23"/>
      <c r="B132" s="20" t="s">
        <v>116</v>
      </c>
      <c r="C132" s="26">
        <f>P132/$P$8</f>
        <v>2.0625595309467369E-3</v>
      </c>
      <c r="D132" s="17">
        <f t="shared" ref="D132:P132" si="113">SUM(D131:D131)</f>
        <v>5000</v>
      </c>
      <c r="E132" s="17">
        <f t="shared" si="113"/>
        <v>5000</v>
      </c>
      <c r="F132" s="17">
        <f t="shared" si="113"/>
        <v>5000</v>
      </c>
      <c r="G132" s="17">
        <f t="shared" si="113"/>
        <v>5000</v>
      </c>
      <c r="H132" s="17">
        <f t="shared" si="113"/>
        <v>5000</v>
      </c>
      <c r="I132" s="17">
        <f t="shared" si="113"/>
        <v>5000</v>
      </c>
      <c r="J132" s="17">
        <f t="shared" si="113"/>
        <v>5000</v>
      </c>
      <c r="K132" s="17">
        <f t="shared" si="113"/>
        <v>5000</v>
      </c>
      <c r="L132" s="17">
        <f t="shared" si="113"/>
        <v>5000</v>
      </c>
      <c r="M132" s="17">
        <f t="shared" si="113"/>
        <v>5000</v>
      </c>
      <c r="N132" s="17">
        <f t="shared" si="113"/>
        <v>5000</v>
      </c>
      <c r="O132" s="17">
        <f t="shared" si="113"/>
        <v>5000</v>
      </c>
      <c r="P132" s="17">
        <f t="shared" si="113"/>
        <v>60000</v>
      </c>
      <c r="Q132" s="121"/>
    </row>
    <row r="133" spans="1:18" s="7" customFormat="1" x14ac:dyDescent="0.3">
      <c r="A133" s="23"/>
      <c r="B133" s="23"/>
      <c r="C133" s="1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21"/>
    </row>
    <row r="134" spans="1:18" x14ac:dyDescent="0.3">
      <c r="A134" s="23"/>
      <c r="B134" s="23" t="s">
        <v>323</v>
      </c>
      <c r="C134" s="18"/>
      <c r="D134" s="16">
        <f t="shared" ref="D134:P134" si="114">D132+D128+D121+D116+D112+D106+D99+D92+D84+D77+D73+D65+D52+D43</f>
        <v>305180.59999999998</v>
      </c>
      <c r="E134" s="16">
        <f t="shared" si="114"/>
        <v>305180.59999999998</v>
      </c>
      <c r="F134" s="16">
        <f t="shared" si="114"/>
        <v>305180.59999999998</v>
      </c>
      <c r="G134" s="16">
        <f t="shared" si="114"/>
        <v>305180.59999999998</v>
      </c>
      <c r="H134" s="16">
        <f t="shared" si="114"/>
        <v>305180.59999999998</v>
      </c>
      <c r="I134" s="16">
        <f t="shared" si="114"/>
        <v>305180.59999999998</v>
      </c>
      <c r="J134" s="16">
        <f t="shared" si="114"/>
        <v>302180.59999999998</v>
      </c>
      <c r="K134" s="16">
        <f t="shared" si="114"/>
        <v>302180.59999999998</v>
      </c>
      <c r="L134" s="16">
        <f t="shared" si="114"/>
        <v>296056.59999999998</v>
      </c>
      <c r="M134" s="16">
        <f t="shared" si="114"/>
        <v>301856.59999999998</v>
      </c>
      <c r="N134" s="16">
        <f t="shared" si="114"/>
        <v>301856.59999999998</v>
      </c>
      <c r="O134" s="16">
        <f t="shared" si="114"/>
        <v>301856.59999999998</v>
      </c>
      <c r="P134" s="16">
        <f t="shared" si="114"/>
        <v>3619671.2</v>
      </c>
      <c r="Q134" s="124">
        <f>P134/$P$8</f>
        <v>0.12442978887422354</v>
      </c>
    </row>
    <row r="135" spans="1:18" x14ac:dyDescent="0.3">
      <c r="A135" s="23"/>
      <c r="B135" s="24"/>
      <c r="C135" s="18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</row>
    <row r="136" spans="1:18" s="27" customFormat="1" x14ac:dyDescent="0.3">
      <c r="A136" s="20" t="s">
        <v>16</v>
      </c>
      <c r="B136" s="28"/>
      <c r="C136" s="26">
        <f t="shared" ref="C136:C145" si="115">P136/$P$8</f>
        <v>6.6669612698924269E-2</v>
      </c>
      <c r="D136" s="17">
        <f t="shared" ref="D136:P136" si="116">SUM(D39-D43-D52-D65-D73-D77-D84-D92-D99-D106-D112-D116-D121-D128-D132)</f>
        <v>262728.29295333277</v>
      </c>
      <c r="E136" s="17">
        <f t="shared" si="116"/>
        <v>297940.75743616757</v>
      </c>
      <c r="F136" s="17">
        <f t="shared" si="116"/>
        <v>266860.16099887562</v>
      </c>
      <c r="G136" s="17">
        <f t="shared" si="116"/>
        <v>-99730.463365482079</v>
      </c>
      <c r="H136" s="17">
        <f t="shared" si="116"/>
        <v>119557.09614818182</v>
      </c>
      <c r="I136" s="17">
        <f t="shared" si="116"/>
        <v>187685.54681743949</v>
      </c>
      <c r="J136" s="17">
        <f t="shared" si="116"/>
        <v>-50068.610892169672</v>
      </c>
      <c r="K136" s="17">
        <f t="shared" si="116"/>
        <v>237795.0975470735</v>
      </c>
      <c r="L136" s="17">
        <f t="shared" si="116"/>
        <v>424322.84205711738</v>
      </c>
      <c r="M136" s="17">
        <f t="shared" si="116"/>
        <v>263344.2738163973</v>
      </c>
      <c r="N136" s="17">
        <f t="shared" si="116"/>
        <v>55389.230057883193</v>
      </c>
      <c r="O136" s="17">
        <f t="shared" si="116"/>
        <v>-43800.559958507452</v>
      </c>
      <c r="P136" s="17">
        <f t="shared" si="116"/>
        <v>1939423.6636163089</v>
      </c>
      <c r="Q136" s="145">
        <f>P136/$P$8</f>
        <v>6.6669612698924269E-2</v>
      </c>
      <c r="R136" s="146" t="s">
        <v>409</v>
      </c>
    </row>
    <row r="137" spans="1:18" x14ac:dyDescent="0.3">
      <c r="A137" s="29"/>
      <c r="B137" s="21"/>
      <c r="C137" s="14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23"/>
    </row>
    <row r="138" spans="1:18" x14ac:dyDescent="0.3">
      <c r="A138" s="23" t="s">
        <v>17</v>
      </c>
      <c r="B138" s="21"/>
      <c r="C138" s="14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8" ht="11.25" customHeight="1" outlineLevel="1" x14ac:dyDescent="0.3">
      <c r="A139" s="22">
        <v>8050</v>
      </c>
      <c r="B139" s="21" t="s">
        <v>51</v>
      </c>
      <c r="C139" s="14">
        <f t="shared" si="115"/>
        <v>-4.1251190618934736E-4</v>
      </c>
      <c r="D139" s="15">
        <v>-1000</v>
      </c>
      <c r="E139" s="15">
        <f>D139</f>
        <v>-1000</v>
      </c>
      <c r="F139" s="15">
        <f t="shared" ref="F139:O142" si="117">E139</f>
        <v>-1000</v>
      </c>
      <c r="G139" s="15">
        <f t="shared" si="117"/>
        <v>-1000</v>
      </c>
      <c r="H139" s="15">
        <f t="shared" si="117"/>
        <v>-1000</v>
      </c>
      <c r="I139" s="15">
        <f t="shared" si="117"/>
        <v>-1000</v>
      </c>
      <c r="J139" s="15">
        <f t="shared" si="117"/>
        <v>-1000</v>
      </c>
      <c r="K139" s="15">
        <f t="shared" si="117"/>
        <v>-1000</v>
      </c>
      <c r="L139" s="15">
        <f t="shared" si="117"/>
        <v>-1000</v>
      </c>
      <c r="M139" s="15">
        <f t="shared" si="117"/>
        <v>-1000</v>
      </c>
      <c r="N139" s="15">
        <f t="shared" si="117"/>
        <v>-1000</v>
      </c>
      <c r="O139" s="15">
        <f t="shared" si="117"/>
        <v>-1000</v>
      </c>
      <c r="P139" s="15">
        <f>SUM(D139:O139)</f>
        <v>-12000</v>
      </c>
    </row>
    <row r="140" spans="1:18" outlineLevel="1" x14ac:dyDescent="0.3">
      <c r="A140" s="22">
        <v>8150</v>
      </c>
      <c r="B140" s="21" t="s">
        <v>52</v>
      </c>
      <c r="C140" s="14">
        <f t="shared" si="115"/>
        <v>4.1251190618934742E-5</v>
      </c>
      <c r="D140" s="15">
        <v>100</v>
      </c>
      <c r="E140" s="15">
        <f>D140</f>
        <v>100</v>
      </c>
      <c r="F140" s="15">
        <f t="shared" si="117"/>
        <v>100</v>
      </c>
      <c r="G140" s="15">
        <f t="shared" si="117"/>
        <v>100</v>
      </c>
      <c r="H140" s="15">
        <f t="shared" si="117"/>
        <v>100</v>
      </c>
      <c r="I140" s="15">
        <f t="shared" si="117"/>
        <v>100</v>
      </c>
      <c r="J140" s="15">
        <f t="shared" si="117"/>
        <v>100</v>
      </c>
      <c r="K140" s="15">
        <f t="shared" si="117"/>
        <v>100</v>
      </c>
      <c r="L140" s="15">
        <f t="shared" si="117"/>
        <v>100</v>
      </c>
      <c r="M140" s="15">
        <f t="shared" si="117"/>
        <v>100</v>
      </c>
      <c r="N140" s="15">
        <f t="shared" si="117"/>
        <v>100</v>
      </c>
      <c r="O140" s="15">
        <f t="shared" si="117"/>
        <v>100</v>
      </c>
      <c r="P140" s="15">
        <f>SUM(D140:O140)</f>
        <v>1200</v>
      </c>
    </row>
    <row r="141" spans="1:18" outlineLevel="1" x14ac:dyDescent="0.3">
      <c r="A141" s="22">
        <v>8154</v>
      </c>
      <c r="B141" s="43" t="s">
        <v>117</v>
      </c>
      <c r="C141" s="14">
        <f>P141/$P$8</f>
        <v>0</v>
      </c>
      <c r="D141" s="15"/>
      <c r="E141" s="15">
        <f>D141</f>
        <v>0</v>
      </c>
      <c r="F141" s="15">
        <f t="shared" si="117"/>
        <v>0</v>
      </c>
      <c r="G141" s="15">
        <f t="shared" si="117"/>
        <v>0</v>
      </c>
      <c r="H141" s="15">
        <f t="shared" si="117"/>
        <v>0</v>
      </c>
      <c r="I141" s="15">
        <f t="shared" si="117"/>
        <v>0</v>
      </c>
      <c r="J141" s="15">
        <f t="shared" si="117"/>
        <v>0</v>
      </c>
      <c r="K141" s="15">
        <f t="shared" si="117"/>
        <v>0</v>
      </c>
      <c r="L141" s="15">
        <f t="shared" si="117"/>
        <v>0</v>
      </c>
      <c r="M141" s="15">
        <f t="shared" si="117"/>
        <v>0</v>
      </c>
      <c r="N141" s="15">
        <f t="shared" si="117"/>
        <v>0</v>
      </c>
      <c r="O141" s="15">
        <f t="shared" si="117"/>
        <v>0</v>
      </c>
      <c r="P141" s="15">
        <f>SUM(D141:O141)</f>
        <v>0</v>
      </c>
    </row>
    <row r="142" spans="1:18" outlineLevel="1" x14ac:dyDescent="0.3">
      <c r="A142" s="22">
        <v>8155</v>
      </c>
      <c r="B142" s="43" t="s">
        <v>118</v>
      </c>
      <c r="C142" s="14">
        <f t="shared" si="115"/>
        <v>8.2502381237869484E-5</v>
      </c>
      <c r="D142" s="15">
        <v>200</v>
      </c>
      <c r="E142" s="15">
        <f>D142</f>
        <v>200</v>
      </c>
      <c r="F142" s="15">
        <f t="shared" si="117"/>
        <v>200</v>
      </c>
      <c r="G142" s="15">
        <f t="shared" si="117"/>
        <v>200</v>
      </c>
      <c r="H142" s="15">
        <f t="shared" si="117"/>
        <v>200</v>
      </c>
      <c r="I142" s="15">
        <f t="shared" si="117"/>
        <v>200</v>
      </c>
      <c r="J142" s="15">
        <f t="shared" si="117"/>
        <v>200</v>
      </c>
      <c r="K142" s="15">
        <f t="shared" si="117"/>
        <v>200</v>
      </c>
      <c r="L142" s="15">
        <f t="shared" si="117"/>
        <v>200</v>
      </c>
      <c r="M142" s="15">
        <f t="shared" si="117"/>
        <v>200</v>
      </c>
      <c r="N142" s="15">
        <f t="shared" si="117"/>
        <v>200</v>
      </c>
      <c r="O142" s="15">
        <f t="shared" si="117"/>
        <v>200</v>
      </c>
      <c r="P142" s="15">
        <f>SUM(D142:O142)</f>
        <v>2400</v>
      </c>
    </row>
    <row r="143" spans="1:18" x14ac:dyDescent="0.3">
      <c r="A143" s="9"/>
      <c r="B143" s="20" t="s">
        <v>39</v>
      </c>
      <c r="C143" s="26">
        <f t="shared" si="115"/>
        <v>-2.8875833433254317E-4</v>
      </c>
      <c r="D143" s="17">
        <f>SUM(D139:D142)</f>
        <v>-700</v>
      </c>
      <c r="E143" s="17">
        <f t="shared" ref="E143:P143" si="118">SUM(E139:E142)</f>
        <v>-700</v>
      </c>
      <c r="F143" s="17">
        <f t="shared" si="118"/>
        <v>-700</v>
      </c>
      <c r="G143" s="17">
        <f t="shared" si="118"/>
        <v>-700</v>
      </c>
      <c r="H143" s="17">
        <f t="shared" si="118"/>
        <v>-700</v>
      </c>
      <c r="I143" s="17">
        <f t="shared" si="118"/>
        <v>-700</v>
      </c>
      <c r="J143" s="17">
        <f t="shared" si="118"/>
        <v>-700</v>
      </c>
      <c r="K143" s="17">
        <f t="shared" si="118"/>
        <v>-700</v>
      </c>
      <c r="L143" s="17">
        <f t="shared" si="118"/>
        <v>-700</v>
      </c>
      <c r="M143" s="17">
        <f t="shared" si="118"/>
        <v>-700</v>
      </c>
      <c r="N143" s="17">
        <f t="shared" si="118"/>
        <v>-700</v>
      </c>
      <c r="O143" s="17">
        <f t="shared" si="118"/>
        <v>-700</v>
      </c>
      <c r="P143" s="17">
        <f t="shared" si="118"/>
        <v>-8400</v>
      </c>
    </row>
    <row r="144" spans="1:18" x14ac:dyDescent="0.3">
      <c r="A144" s="9"/>
      <c r="B144" s="24"/>
      <c r="C144" s="18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</row>
    <row r="145" spans="1:16" x14ac:dyDescent="0.3">
      <c r="A145" s="31" t="s">
        <v>22</v>
      </c>
      <c r="B145" s="25"/>
      <c r="C145" s="38">
        <f t="shared" si="115"/>
        <v>6.6958371033256817E-2</v>
      </c>
      <c r="D145" s="19">
        <f t="shared" ref="D145:O145" si="119">D136-D143</f>
        <v>263428.29295333277</v>
      </c>
      <c r="E145" s="19">
        <f t="shared" si="119"/>
        <v>298640.75743616757</v>
      </c>
      <c r="F145" s="19">
        <f t="shared" si="119"/>
        <v>267560.16099887562</v>
      </c>
      <c r="G145" s="19">
        <f t="shared" si="119"/>
        <v>-99030.463365482079</v>
      </c>
      <c r="H145" s="19">
        <f t="shared" si="119"/>
        <v>120257.09614818182</v>
      </c>
      <c r="I145" s="19">
        <f t="shared" si="119"/>
        <v>188385.54681743949</v>
      </c>
      <c r="J145" s="19">
        <f t="shared" si="119"/>
        <v>-49368.610892169672</v>
      </c>
      <c r="K145" s="19">
        <f t="shared" si="119"/>
        <v>238495.0975470735</v>
      </c>
      <c r="L145" s="19">
        <f t="shared" si="119"/>
        <v>425022.84205711738</v>
      </c>
      <c r="M145" s="19">
        <f t="shared" si="119"/>
        <v>264044.2738163973</v>
      </c>
      <c r="N145" s="19">
        <f t="shared" si="119"/>
        <v>56089.230057883193</v>
      </c>
      <c r="O145" s="19">
        <f t="shared" si="119"/>
        <v>-43100.559958507452</v>
      </c>
      <c r="P145" s="19">
        <f>P136-P143</f>
        <v>1947823.6636163089</v>
      </c>
    </row>
    <row r="146" spans="1:16" x14ac:dyDescent="0.3">
      <c r="A146" s="8"/>
      <c r="B146" s="24"/>
      <c r="C146" s="32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</row>
    <row r="147" spans="1:16" x14ac:dyDescent="0.3">
      <c r="A147" s="31" t="s">
        <v>23</v>
      </c>
      <c r="B147" s="25"/>
      <c r="C147" s="33"/>
      <c r="D147" s="19">
        <f>D145</f>
        <v>263428.29295333277</v>
      </c>
      <c r="E147" s="19">
        <f>D147+E145</f>
        <v>562069.05038950033</v>
      </c>
      <c r="F147" s="19">
        <f t="shared" ref="F147:N147" si="120">E147+F145</f>
        <v>829629.21138837596</v>
      </c>
      <c r="G147" s="19">
        <f t="shared" si="120"/>
        <v>730598.74802289391</v>
      </c>
      <c r="H147" s="19">
        <f t="shared" si="120"/>
        <v>850855.84417107573</v>
      </c>
      <c r="I147" s="19">
        <f t="shared" si="120"/>
        <v>1039241.3909885152</v>
      </c>
      <c r="J147" s="19">
        <f>I147+J145</f>
        <v>989872.78009634558</v>
      </c>
      <c r="K147" s="19">
        <f t="shared" si="120"/>
        <v>1228367.877643419</v>
      </c>
      <c r="L147" s="19">
        <f t="shared" si="120"/>
        <v>1653390.7197005362</v>
      </c>
      <c r="M147" s="19">
        <f>L147+M145</f>
        <v>1917434.9935169336</v>
      </c>
      <c r="N147" s="19">
        <f t="shared" si="120"/>
        <v>1973524.2235748167</v>
      </c>
      <c r="O147" s="19">
        <f>N147+O145</f>
        <v>1930423.6636163092</v>
      </c>
      <c r="P147" s="19">
        <f>O147</f>
        <v>1930423.6636163092</v>
      </c>
    </row>
    <row r="148" spans="1:16" ht="14.4" customHeight="1" x14ac:dyDescent="0.3"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6"/>
    </row>
    <row r="149" spans="1:16" ht="14.4" customHeight="1" x14ac:dyDescent="0.3"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6"/>
    </row>
    <row r="150" spans="1:16" ht="14.4" customHeight="1" x14ac:dyDescent="0.4">
      <c r="B150" s="12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6"/>
    </row>
    <row r="151" spans="1:16" ht="14.4" customHeight="1" x14ac:dyDescent="0.3"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6"/>
    </row>
    <row r="152" spans="1:16" ht="14.4" customHeight="1" x14ac:dyDescent="0.3"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6"/>
    </row>
    <row r="153" spans="1:16" ht="14.4" customHeight="1" x14ac:dyDescent="0.3"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6"/>
    </row>
    <row r="154" spans="1:16" ht="14.4" customHeight="1" x14ac:dyDescent="0.3"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6"/>
    </row>
    <row r="155" spans="1:16" ht="14.4" customHeight="1" x14ac:dyDescent="0.3"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6"/>
    </row>
    <row r="156" spans="1:16" ht="14.4" customHeight="1" x14ac:dyDescent="0.3"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6"/>
    </row>
    <row r="157" spans="1:16" ht="14.4" customHeight="1" x14ac:dyDescent="0.3"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6"/>
    </row>
    <row r="158" spans="1:16" ht="14.4" customHeight="1" x14ac:dyDescent="0.3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6"/>
    </row>
    <row r="159" spans="1:16" ht="14.4" customHeight="1" x14ac:dyDescent="0.3"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6"/>
    </row>
    <row r="160" spans="1:16" x14ac:dyDescent="0.3"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6"/>
    </row>
    <row r="161" spans="3:16" x14ac:dyDescent="0.3"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6"/>
    </row>
    <row r="162" spans="3:16" x14ac:dyDescent="0.3"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6"/>
    </row>
    <row r="163" spans="3:16" x14ac:dyDescent="0.3"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6"/>
    </row>
    <row r="164" spans="3:16" x14ac:dyDescent="0.3"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6"/>
    </row>
    <row r="165" spans="3:16" x14ac:dyDescent="0.3"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6"/>
    </row>
    <row r="166" spans="3:16" x14ac:dyDescent="0.3"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6"/>
    </row>
    <row r="167" spans="3:16" x14ac:dyDescent="0.3"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6"/>
    </row>
    <row r="168" spans="3:16" x14ac:dyDescent="0.3"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6"/>
    </row>
    <row r="169" spans="3:16" x14ac:dyDescent="0.3"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6"/>
    </row>
    <row r="170" spans="3:16" x14ac:dyDescent="0.3"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6"/>
    </row>
    <row r="171" spans="3:16" x14ac:dyDescent="0.3"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6"/>
    </row>
    <row r="172" spans="3:16" x14ac:dyDescent="0.3"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6"/>
    </row>
  </sheetData>
  <phoneticPr fontId="7" type="noConversion"/>
  <pageMargins left="0.27559055118110237" right="0.27559055118110237" top="0.27559055118110237" bottom="0.27559055118110237" header="0.31496062992125984" footer="0.31496062992125984"/>
  <pageSetup paperSize="9" scale="47" orientation="portrait" r:id="rId1"/>
  <headerFooter alignWithMargins="0"/>
  <ignoredErrors>
    <ignoredError sqref="E25 F25:O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187"/>
  <sheetViews>
    <sheetView tabSelected="1" zoomScale="115" zoomScaleNormal="115" workbookViewId="0">
      <selection activeCell="Q167" sqref="Q167"/>
    </sheetView>
  </sheetViews>
  <sheetFormatPr baseColWidth="10" defaultRowHeight="12.45" outlineLevelRow="1" x14ac:dyDescent="0.3"/>
  <cols>
    <col min="1" max="1" width="4.84375" style="1" customWidth="1"/>
    <col min="2" max="2" width="29" bestFit="1" customWidth="1"/>
    <col min="3" max="3" width="7.4609375" style="2" bestFit="1" customWidth="1"/>
    <col min="4" max="4" width="8" bestFit="1" customWidth="1"/>
    <col min="5" max="5" width="8.69140625" bestFit="1" customWidth="1"/>
    <col min="6" max="15" width="8" bestFit="1" customWidth="1"/>
    <col min="16" max="16" width="9.3046875" style="3" customWidth="1"/>
    <col min="17" max="17" width="11.53515625" style="84"/>
  </cols>
  <sheetData>
    <row r="1" spans="1:256" x14ac:dyDescent="0.3">
      <c r="A1" s="8" t="s">
        <v>370</v>
      </c>
      <c r="B1" s="7"/>
      <c r="C1" s="44" t="s">
        <v>124</v>
      </c>
    </row>
    <row r="3" spans="1:256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5.75" customHeight="1" x14ac:dyDescent="0.3">
      <c r="A4" s="30" t="s">
        <v>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56" x14ac:dyDescent="0.3">
      <c r="A5" s="22">
        <v>3010</v>
      </c>
      <c r="B5" s="43" t="s">
        <v>57</v>
      </c>
      <c r="C5" s="14"/>
      <c r="D5" s="15">
        <f>'Fritzøe - forutsetn'!G52+'Fritzøe - forutsetn'!G53</f>
        <v>3123136.602</v>
      </c>
      <c r="E5" s="15">
        <f>'Fritzøe - forutsetn'!H52+'Fritzøe - forutsetn'!H53</f>
        <v>3010695.2774999999</v>
      </c>
      <c r="F5" s="15">
        <f>'Fritzøe - forutsetn'!I52+'Fritzøe - forutsetn'!I53</f>
        <v>3823939.125</v>
      </c>
      <c r="G5" s="15">
        <f>'Fritzøe - forutsetn'!J52+'Fritzøe - forutsetn'!J53</f>
        <v>2987342.9775</v>
      </c>
      <c r="H5" s="15">
        <f>'Fritzøe - forutsetn'!K52+'Fritzøe - forutsetn'!K53</f>
        <v>3649380.6825000001</v>
      </c>
      <c r="I5" s="15">
        <f>'Fritzøe - forutsetn'!L52+'Fritzøe - forutsetn'!L53</f>
        <v>4027162.5157500003</v>
      </c>
      <c r="J5" s="15">
        <f>'Fritzøe - forutsetn'!M52+'Fritzøe - forutsetn'!M53</f>
        <v>1979107.425</v>
      </c>
      <c r="K5" s="15">
        <f>'Fritzøe - forutsetn'!N52+'Fritzøe - forutsetn'!N53</f>
        <v>3380478.9480000003</v>
      </c>
      <c r="L5" s="15">
        <f>'Fritzøe - forutsetn'!O52+'Fritzøe - forutsetn'!O53</f>
        <v>4648158.5535000013</v>
      </c>
      <c r="M5" s="15">
        <f>'Fritzøe - forutsetn'!P52+'Fritzøe - forutsetn'!P53</f>
        <v>4365595.7235000012</v>
      </c>
      <c r="N5" s="15">
        <f>'Fritzøe - forutsetn'!Q52+'Fritzøe - forutsetn'!Q53</f>
        <v>3175328.9925000002</v>
      </c>
      <c r="O5" s="15">
        <f>'Fritzøe - forutsetn'!R52+'Fritzøe - forutsetn'!R53</f>
        <v>2872916.7075000005</v>
      </c>
      <c r="P5" s="15">
        <f>SUM(D5:O5)</f>
        <v>41043243.530250005</v>
      </c>
    </row>
    <row r="6" spans="1:256" x14ac:dyDescent="0.3">
      <c r="A6" s="22">
        <v>3012</v>
      </c>
      <c r="B6" s="43" t="s">
        <v>198</v>
      </c>
      <c r="C6" s="14">
        <f>P6/$P$7</f>
        <v>8.0124176057630864E-2</v>
      </c>
      <c r="D6" s="15">
        <f>D26*1.1+D19*1.1</f>
        <v>110000.00000000001</v>
      </c>
      <c r="E6" s="15">
        <f t="shared" ref="E6:O6" si="0">E26*1.1+E19*1.1</f>
        <v>110000.00000000001</v>
      </c>
      <c r="F6" s="15">
        <f t="shared" si="0"/>
        <v>275000.00000000006</v>
      </c>
      <c r="G6" s="15">
        <f t="shared" si="0"/>
        <v>330000.00000000006</v>
      </c>
      <c r="H6" s="15">
        <f t="shared" si="0"/>
        <v>550000.00000000012</v>
      </c>
      <c r="I6" s="15">
        <f t="shared" si="0"/>
        <v>330000.00000000006</v>
      </c>
      <c r="J6" s="15">
        <f t="shared" si="0"/>
        <v>220000.00000000003</v>
      </c>
      <c r="K6" s="15">
        <f t="shared" si="0"/>
        <v>330000.00000000006</v>
      </c>
      <c r="L6" s="15">
        <f t="shared" si="0"/>
        <v>330000.00000000006</v>
      </c>
      <c r="M6" s="15">
        <f t="shared" si="0"/>
        <v>330000.00000000006</v>
      </c>
      <c r="N6" s="15">
        <f t="shared" si="0"/>
        <v>330000.00000000006</v>
      </c>
      <c r="O6" s="15">
        <f t="shared" si="0"/>
        <v>330000.00000000006</v>
      </c>
      <c r="P6" s="15">
        <f>SUM(D6:O6)</f>
        <v>3575000.0000000005</v>
      </c>
    </row>
    <row r="7" spans="1:256" s="43" customFormat="1" ht="10.3" x14ac:dyDescent="0.25">
      <c r="B7" s="20" t="s">
        <v>36</v>
      </c>
      <c r="C7" s="53">
        <f>P7/$P$7</f>
        <v>1</v>
      </c>
      <c r="D7" s="17">
        <f t="shared" ref="D7:O7" si="1">SUM(D5:D6)</f>
        <v>3233136.602</v>
      </c>
      <c r="E7" s="17">
        <f t="shared" si="1"/>
        <v>3120695.2774999999</v>
      </c>
      <c r="F7" s="17">
        <f t="shared" si="1"/>
        <v>4098939.125</v>
      </c>
      <c r="G7" s="17">
        <f t="shared" si="1"/>
        <v>3317342.9775</v>
      </c>
      <c r="H7" s="17">
        <f t="shared" si="1"/>
        <v>4199380.6825000001</v>
      </c>
      <c r="I7" s="17">
        <f t="shared" si="1"/>
        <v>4357162.5157500003</v>
      </c>
      <c r="J7" s="17">
        <f t="shared" si="1"/>
        <v>2199107.4250000003</v>
      </c>
      <c r="K7" s="17">
        <f t="shared" si="1"/>
        <v>3710478.9480000003</v>
      </c>
      <c r="L7" s="17">
        <f t="shared" si="1"/>
        <v>4978158.5535000013</v>
      </c>
      <c r="M7" s="17">
        <f t="shared" si="1"/>
        <v>4695595.7235000012</v>
      </c>
      <c r="N7" s="17">
        <f t="shared" si="1"/>
        <v>3505328.9925000002</v>
      </c>
      <c r="O7" s="17">
        <f t="shared" si="1"/>
        <v>3202916.7075000005</v>
      </c>
      <c r="P7" s="17">
        <f>SUM(P5:P6)</f>
        <v>44618243.530250005</v>
      </c>
      <c r="IV7" s="46">
        <f>SUM(D7:IU7)</f>
        <v>89236487.060500011</v>
      </c>
    </row>
    <row r="8" spans="1:256" s="21" customFormat="1" ht="15.75" customHeight="1" x14ac:dyDescent="0.25">
      <c r="B8" s="23"/>
      <c r="C8" s="1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43"/>
      <c r="IV8" s="15"/>
    </row>
    <row r="9" spans="1:256" x14ac:dyDescent="0.3">
      <c r="A9" s="23" t="s">
        <v>5</v>
      </c>
      <c r="B9" s="21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256" s="7" customFormat="1" x14ac:dyDescent="0.3">
      <c r="A10" s="22">
        <v>4300</v>
      </c>
      <c r="B10" s="43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06"/>
    </row>
    <row r="11" spans="1:256" s="7" customFormat="1" x14ac:dyDescent="0.3">
      <c r="A11" s="22">
        <v>4300</v>
      </c>
      <c r="B11" s="43" t="s">
        <v>286</v>
      </c>
      <c r="C11" s="14">
        <f t="shared" ref="C11:C29" si="2">P11/$P$7</f>
        <v>0.27661656816200281</v>
      </c>
      <c r="D11" s="15">
        <f>'Fritzøe - forutsetn'!G53/1.18</f>
        <v>939160.81525423739</v>
      </c>
      <c r="E11" s="15">
        <f>'Fritzøe - forutsetn'!H53/1.18</f>
        <v>905348.49788135604</v>
      </c>
      <c r="F11" s="15">
        <f>'Fritzøe - forutsetn'!I53/1.18</f>
        <v>1149899.6822033899</v>
      </c>
      <c r="G11" s="15">
        <f>'Fritzøe - forutsetn'!J53/1.18</f>
        <v>898326.20974576299</v>
      </c>
      <c r="H11" s="15">
        <f>'Fritzøe - forutsetn'!K53/1.18</f>
        <v>1097408.0783898307</v>
      </c>
      <c r="I11" s="15">
        <f>'Fritzøe - forutsetn'!L53/1.18</f>
        <v>1211011.1447033901</v>
      </c>
      <c r="J11" s="15">
        <f>'Fritzøe - forutsetn'!M53/1.18</f>
        <v>595138.91949152551</v>
      </c>
      <c r="K11" s="15">
        <f>'Fritzøe - forutsetn'!N53/1.18</f>
        <v>1016546.4305084748</v>
      </c>
      <c r="L11" s="15">
        <f>'Fritzøe - forutsetn'!O53/1.18</f>
        <v>1397751.341949153</v>
      </c>
      <c r="M11" s="15">
        <f>'Fritzøe - forutsetn'!P53/1.18</f>
        <v>1312781.6555084749</v>
      </c>
      <c r="N11" s="15">
        <f>'Fritzøe - forutsetn'!Q53/1.18</f>
        <v>954855.62923728826</v>
      </c>
      <c r="O11" s="15">
        <f>'Fritzøe - forutsetn'!R53/1.18</f>
        <v>863916.99788135604</v>
      </c>
      <c r="P11" s="15">
        <f t="shared" ref="P11:P28" si="3">SUM(D11:O11)</f>
        <v>12342145.402754242</v>
      </c>
      <c r="Q11" s="108">
        <f>P11/$P$7</f>
        <v>0.27661656816200281</v>
      </c>
    </row>
    <row r="12" spans="1:256" s="7" customFormat="1" x14ac:dyDescent="0.3">
      <c r="A12" s="22">
        <v>4350</v>
      </c>
      <c r="B12" s="43" t="s">
        <v>70</v>
      </c>
      <c r="C12" s="14">
        <f t="shared" si="2"/>
        <v>2.0171121245277698E-2</v>
      </c>
      <c r="D12" s="15">
        <v>75000</v>
      </c>
      <c r="E12" s="46">
        <f>D12</f>
        <v>75000</v>
      </c>
      <c r="F12" s="46">
        <f t="shared" ref="F12:O12" si="4">E12</f>
        <v>75000</v>
      </c>
      <c r="G12" s="46">
        <f>F12</f>
        <v>75000</v>
      </c>
      <c r="H12" s="46">
        <f t="shared" si="4"/>
        <v>75000</v>
      </c>
      <c r="I12" s="46">
        <f t="shared" si="4"/>
        <v>75000</v>
      </c>
      <c r="J12" s="46">
        <f t="shared" si="4"/>
        <v>75000</v>
      </c>
      <c r="K12" s="46">
        <f t="shared" si="4"/>
        <v>75000</v>
      </c>
      <c r="L12" s="46">
        <f t="shared" si="4"/>
        <v>75000</v>
      </c>
      <c r="M12" s="46">
        <f t="shared" si="4"/>
        <v>75000</v>
      </c>
      <c r="N12" s="46">
        <f t="shared" si="4"/>
        <v>75000</v>
      </c>
      <c r="O12" s="46">
        <f t="shared" si="4"/>
        <v>75000</v>
      </c>
      <c r="P12" s="15">
        <f t="shared" si="3"/>
        <v>900000</v>
      </c>
      <c r="Q12" s="84"/>
    </row>
    <row r="13" spans="1:256" s="7" customFormat="1" hidden="1" x14ac:dyDescent="0.3">
      <c r="A13" s="22">
        <v>4500</v>
      </c>
      <c r="B13" s="43" t="s">
        <v>248</v>
      </c>
      <c r="C13" s="14">
        <f t="shared" si="2"/>
        <v>0</v>
      </c>
      <c r="D13" s="15">
        <f>'Fritzøe - forutsetn'!G76</f>
        <v>0</v>
      </c>
      <c r="E13" s="15">
        <f>'Fritzøe - forutsetn'!H76</f>
        <v>0</v>
      </c>
      <c r="F13" s="15">
        <f>'Fritzøe - forutsetn'!I76</f>
        <v>0</v>
      </c>
      <c r="G13" s="15">
        <f>'Fritzøe - forutsetn'!J76</f>
        <v>0</v>
      </c>
      <c r="H13" s="15">
        <f>'Fritzøe - forutsetn'!K76</f>
        <v>0</v>
      </c>
      <c r="I13" s="15">
        <f>'Fritzøe - forutsetn'!L76</f>
        <v>0</v>
      </c>
      <c r="J13" s="15">
        <f>'Fritzøe - forutsetn'!M76</f>
        <v>0</v>
      </c>
      <c r="K13" s="15">
        <f>'Fritzøe - forutsetn'!N76</f>
        <v>0</v>
      </c>
      <c r="L13" s="15">
        <f>'Fritzøe - forutsetn'!O76</f>
        <v>0</v>
      </c>
      <c r="M13" s="15">
        <f>'Fritzøe - forutsetn'!P76</f>
        <v>0</v>
      </c>
      <c r="N13" s="15">
        <f>'Fritzøe - forutsetn'!Q76</f>
        <v>0</v>
      </c>
      <c r="O13" s="15">
        <f>'Fritzøe - forutsetn'!R76</f>
        <v>0</v>
      </c>
      <c r="P13" s="15">
        <f t="shared" si="3"/>
        <v>0</v>
      </c>
      <c r="Q13" s="84"/>
    </row>
    <row r="14" spans="1:256" s="7" customFormat="1" x14ac:dyDescent="0.3">
      <c r="A14" s="22">
        <v>4501</v>
      </c>
      <c r="B14" s="43" t="s">
        <v>251</v>
      </c>
      <c r="C14" s="14">
        <f t="shared" si="2"/>
        <v>5.60308923479936E-4</v>
      </c>
      <c r="D14" s="15">
        <v>0</v>
      </c>
      <c r="E14" s="15">
        <v>0</v>
      </c>
      <c r="F14" s="15"/>
      <c r="G14" s="15">
        <f t="shared" ref="G14:L14" si="5">F14</f>
        <v>0</v>
      </c>
      <c r="H14" s="15">
        <v>5000</v>
      </c>
      <c r="I14" s="15">
        <f t="shared" si="5"/>
        <v>5000</v>
      </c>
      <c r="J14" s="15">
        <f t="shared" si="5"/>
        <v>5000</v>
      </c>
      <c r="K14" s="15">
        <f t="shared" si="5"/>
        <v>5000</v>
      </c>
      <c r="L14" s="15">
        <f t="shared" si="5"/>
        <v>5000</v>
      </c>
      <c r="M14" s="15"/>
      <c r="N14" s="15"/>
      <c r="O14" s="15"/>
      <c r="P14" s="15">
        <f t="shared" si="3"/>
        <v>25000</v>
      </c>
      <c r="Q14" s="84"/>
    </row>
    <row r="15" spans="1:256" s="7" customFormat="1" hidden="1" x14ac:dyDescent="0.3">
      <c r="A15" s="22">
        <v>4502</v>
      </c>
      <c r="B15" s="43" t="s">
        <v>252</v>
      </c>
      <c r="C15" s="14">
        <f t="shared" si="2"/>
        <v>0</v>
      </c>
      <c r="D15" s="15">
        <v>0</v>
      </c>
      <c r="E15" s="15">
        <v>0</v>
      </c>
      <c r="F15" s="15">
        <v>0</v>
      </c>
      <c r="G15" s="15">
        <f>F15</f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f t="shared" si="3"/>
        <v>0</v>
      </c>
      <c r="Q15" s="84"/>
    </row>
    <row r="16" spans="1:256" s="7" customFormat="1" x14ac:dyDescent="0.3">
      <c r="A16" s="22">
        <v>4503</v>
      </c>
      <c r="B16" s="43" t="s">
        <v>253</v>
      </c>
      <c r="C16" s="14">
        <f t="shared" si="2"/>
        <v>3.6980388949675778E-3</v>
      </c>
      <c r="D16" s="15">
        <v>0</v>
      </c>
      <c r="E16" s="15">
        <f>D16</f>
        <v>0</v>
      </c>
      <c r="F16" s="15">
        <f t="shared" ref="F16:O16" si="6">E16</f>
        <v>0</v>
      </c>
      <c r="G16" s="15">
        <f t="shared" si="6"/>
        <v>0</v>
      </c>
      <c r="H16" s="15">
        <f t="shared" si="6"/>
        <v>0</v>
      </c>
      <c r="I16" s="15">
        <f t="shared" si="6"/>
        <v>0</v>
      </c>
      <c r="J16" s="15">
        <f t="shared" si="6"/>
        <v>0</v>
      </c>
      <c r="K16" s="15">
        <f t="shared" si="6"/>
        <v>0</v>
      </c>
      <c r="L16" s="15">
        <v>0</v>
      </c>
      <c r="M16" s="15">
        <v>55000</v>
      </c>
      <c r="N16" s="15">
        <f t="shared" si="6"/>
        <v>55000</v>
      </c>
      <c r="O16" s="15">
        <f t="shared" si="6"/>
        <v>55000</v>
      </c>
      <c r="P16" s="15">
        <f t="shared" si="3"/>
        <v>165000</v>
      </c>
      <c r="Q16" s="84"/>
    </row>
    <row r="17" spans="1:17" s="7" customFormat="1" x14ac:dyDescent="0.3">
      <c r="A17" s="22">
        <v>4504</v>
      </c>
      <c r="B17" s="43" t="s">
        <v>187</v>
      </c>
      <c r="C17" s="14">
        <f t="shared" si="2"/>
        <v>5.8272128041913342E-3</v>
      </c>
      <c r="D17" s="15">
        <v>0</v>
      </c>
      <c r="E17" s="15">
        <f>D17</f>
        <v>0</v>
      </c>
      <c r="F17" s="15">
        <f t="shared" ref="F17:O18" si="7">E17</f>
        <v>0</v>
      </c>
      <c r="G17" s="15">
        <f t="shared" si="7"/>
        <v>0</v>
      </c>
      <c r="H17" s="15"/>
      <c r="I17" s="15">
        <v>60000</v>
      </c>
      <c r="J17" s="15"/>
      <c r="K17" s="15">
        <f t="shared" si="7"/>
        <v>0</v>
      </c>
      <c r="L17" s="15"/>
      <c r="M17" s="15">
        <v>0</v>
      </c>
      <c r="N17" s="15">
        <v>100000</v>
      </c>
      <c r="O17" s="15">
        <f t="shared" si="7"/>
        <v>100000</v>
      </c>
      <c r="P17" s="15">
        <f t="shared" si="3"/>
        <v>260000</v>
      </c>
      <c r="Q17" s="84"/>
    </row>
    <row r="18" spans="1:17" s="7" customFormat="1" x14ac:dyDescent="0.3">
      <c r="A18" s="22">
        <v>4506</v>
      </c>
      <c r="B18" s="43" t="s">
        <v>188</v>
      </c>
      <c r="C18" s="14">
        <f t="shared" si="2"/>
        <v>1.2999167024734515E-2</v>
      </c>
      <c r="D18" s="15">
        <v>20000</v>
      </c>
      <c r="E18" s="15">
        <f>D18</f>
        <v>20000</v>
      </c>
      <c r="F18" s="15">
        <f t="shared" ref="F18" si="8">E18</f>
        <v>20000</v>
      </c>
      <c r="G18" s="15">
        <f t="shared" si="7"/>
        <v>20000</v>
      </c>
      <c r="H18" s="15">
        <v>200000</v>
      </c>
      <c r="I18" s="15">
        <v>60000</v>
      </c>
      <c r="J18" s="15">
        <v>20000</v>
      </c>
      <c r="K18" s="15">
        <f t="shared" si="7"/>
        <v>20000</v>
      </c>
      <c r="L18" s="15">
        <f t="shared" ref="L18" si="9">K18</f>
        <v>20000</v>
      </c>
      <c r="M18" s="15">
        <f t="shared" ref="M18" si="10">L18</f>
        <v>20000</v>
      </c>
      <c r="N18" s="15">
        <v>80000</v>
      </c>
      <c r="O18" s="15">
        <f t="shared" si="7"/>
        <v>80000</v>
      </c>
      <c r="P18" s="15">
        <f t="shared" si="3"/>
        <v>580000</v>
      </c>
      <c r="Q18" s="84"/>
    </row>
    <row r="19" spans="1:17" s="7" customFormat="1" x14ac:dyDescent="0.3">
      <c r="A19" s="22">
        <v>4507</v>
      </c>
      <c r="B19" s="43" t="s">
        <v>246</v>
      </c>
      <c r="C19" s="14">
        <f t="shared" si="2"/>
        <v>4.9307185266234371E-2</v>
      </c>
      <c r="D19" s="15">
        <v>50000</v>
      </c>
      <c r="E19" s="15">
        <f>D19</f>
        <v>50000</v>
      </c>
      <c r="F19" s="15">
        <v>200000</v>
      </c>
      <c r="G19" s="15">
        <f t="shared" ref="G19:O19" si="11">F19</f>
        <v>200000</v>
      </c>
      <c r="H19" s="15">
        <f>G19+200000</f>
        <v>400000</v>
      </c>
      <c r="I19" s="15">
        <f>G19</f>
        <v>200000</v>
      </c>
      <c r="J19" s="15">
        <v>100000</v>
      </c>
      <c r="K19" s="15">
        <f>I19</f>
        <v>200000</v>
      </c>
      <c r="L19" s="15">
        <f t="shared" si="11"/>
        <v>200000</v>
      </c>
      <c r="M19" s="15">
        <f t="shared" si="11"/>
        <v>200000</v>
      </c>
      <c r="N19" s="15">
        <f t="shared" si="11"/>
        <v>200000</v>
      </c>
      <c r="O19" s="15">
        <f t="shared" si="11"/>
        <v>200000</v>
      </c>
      <c r="P19" s="15">
        <f t="shared" si="3"/>
        <v>2200000</v>
      </c>
      <c r="Q19" s="84"/>
    </row>
    <row r="20" spans="1:17" s="7" customFormat="1" hidden="1" x14ac:dyDescent="0.3">
      <c r="A20" s="22">
        <v>4508</v>
      </c>
      <c r="B20" s="43" t="s">
        <v>254</v>
      </c>
      <c r="C20" s="14">
        <f t="shared" si="2"/>
        <v>0</v>
      </c>
      <c r="D20" s="15"/>
      <c r="E20" s="15">
        <f>'Fritzøe - forutsetn'!H83</f>
        <v>0</v>
      </c>
      <c r="F20" s="15">
        <f>'Fritzøe - forutsetn'!I83</f>
        <v>0</v>
      </c>
      <c r="G20" s="15">
        <f>'Fritzøe - forutsetn'!J83</f>
        <v>0</v>
      </c>
      <c r="H20" s="15"/>
      <c r="I20" s="15"/>
      <c r="J20" s="15">
        <v>0</v>
      </c>
      <c r="K20" s="15">
        <f>J20</f>
        <v>0</v>
      </c>
      <c r="L20" s="15">
        <f>K20</f>
        <v>0</v>
      </c>
      <c r="M20" s="15">
        <f>L20</f>
        <v>0</v>
      </c>
      <c r="N20" s="15">
        <f>M20</f>
        <v>0</v>
      </c>
      <c r="O20" s="15">
        <f>N20</f>
        <v>0</v>
      </c>
      <c r="P20" s="15">
        <f t="shared" si="3"/>
        <v>0</v>
      </c>
      <c r="Q20" s="84"/>
    </row>
    <row r="21" spans="1:17" s="7" customFormat="1" hidden="1" x14ac:dyDescent="0.3">
      <c r="A21" s="22">
        <v>4510</v>
      </c>
      <c r="B21" s="43" t="s">
        <v>255</v>
      </c>
      <c r="C21" s="14">
        <f t="shared" si="2"/>
        <v>0</v>
      </c>
      <c r="D21" s="15">
        <v>0</v>
      </c>
      <c r="E21" s="15">
        <f t="shared" ref="E21:E28" si="12">D21</f>
        <v>0</v>
      </c>
      <c r="F21" s="15">
        <f t="shared" ref="F21:O26" si="13">E21</f>
        <v>0</v>
      </c>
      <c r="G21" s="15">
        <f t="shared" si="13"/>
        <v>0</v>
      </c>
      <c r="H21" s="15">
        <f t="shared" si="13"/>
        <v>0</v>
      </c>
      <c r="I21" s="15">
        <f t="shared" si="13"/>
        <v>0</v>
      </c>
      <c r="J21" s="15">
        <f t="shared" si="13"/>
        <v>0</v>
      </c>
      <c r="K21" s="15">
        <f t="shared" si="13"/>
        <v>0</v>
      </c>
      <c r="L21" s="15">
        <f t="shared" si="13"/>
        <v>0</v>
      </c>
      <c r="M21" s="15">
        <f t="shared" si="13"/>
        <v>0</v>
      </c>
      <c r="N21" s="15">
        <f t="shared" si="13"/>
        <v>0</v>
      </c>
      <c r="O21" s="15">
        <f t="shared" si="13"/>
        <v>0</v>
      </c>
      <c r="P21" s="15">
        <f t="shared" si="3"/>
        <v>0</v>
      </c>
      <c r="Q21" s="84"/>
    </row>
    <row r="22" spans="1:17" s="7" customFormat="1" x14ac:dyDescent="0.3">
      <c r="A22" s="22">
        <v>4511</v>
      </c>
      <c r="B22" s="43" t="s">
        <v>256</v>
      </c>
      <c r="C22" s="14">
        <f t="shared" si="2"/>
        <v>6.2754599429752835E-3</v>
      </c>
      <c r="D22" s="15">
        <v>0</v>
      </c>
      <c r="E22" s="15">
        <f t="shared" si="12"/>
        <v>0</v>
      </c>
      <c r="F22" s="15">
        <f t="shared" si="13"/>
        <v>0</v>
      </c>
      <c r="G22" s="15">
        <f t="shared" si="13"/>
        <v>0</v>
      </c>
      <c r="H22" s="15">
        <v>100000</v>
      </c>
      <c r="I22" s="15"/>
      <c r="J22" s="15">
        <f t="shared" si="13"/>
        <v>0</v>
      </c>
      <c r="K22" s="15">
        <f t="shared" si="13"/>
        <v>0</v>
      </c>
      <c r="L22" s="15">
        <v>60000</v>
      </c>
      <c r="M22" s="15">
        <f t="shared" si="13"/>
        <v>60000</v>
      </c>
      <c r="N22" s="15">
        <f t="shared" si="13"/>
        <v>60000</v>
      </c>
      <c r="O22" s="15">
        <v>0</v>
      </c>
      <c r="P22" s="15">
        <f t="shared" si="3"/>
        <v>280000</v>
      </c>
      <c r="Q22" s="84"/>
    </row>
    <row r="23" spans="1:17" s="7" customFormat="1" x14ac:dyDescent="0.3">
      <c r="A23" s="22">
        <v>4512</v>
      </c>
      <c r="B23" s="43" t="s">
        <v>257</v>
      </c>
      <c r="C23" s="14">
        <f t="shared" si="2"/>
        <v>6.0513363735833084E-3</v>
      </c>
      <c r="D23" s="15">
        <v>10000</v>
      </c>
      <c r="E23" s="15">
        <f t="shared" si="12"/>
        <v>10000</v>
      </c>
      <c r="F23" s="15">
        <f t="shared" si="13"/>
        <v>10000</v>
      </c>
      <c r="G23" s="15">
        <f t="shared" si="13"/>
        <v>10000</v>
      </c>
      <c r="H23" s="15">
        <f t="shared" si="13"/>
        <v>10000</v>
      </c>
      <c r="I23" s="15">
        <f t="shared" si="13"/>
        <v>10000</v>
      </c>
      <c r="J23" s="15">
        <f t="shared" si="13"/>
        <v>10000</v>
      </c>
      <c r="K23" s="15">
        <v>40000</v>
      </c>
      <c r="L23" s="15">
        <f t="shared" si="13"/>
        <v>40000</v>
      </c>
      <c r="M23" s="15">
        <f t="shared" si="13"/>
        <v>40000</v>
      </c>
      <c r="N23" s="15">
        <f t="shared" si="13"/>
        <v>40000</v>
      </c>
      <c r="O23" s="15">
        <f t="shared" si="13"/>
        <v>40000</v>
      </c>
      <c r="P23" s="15">
        <f t="shared" si="3"/>
        <v>270000</v>
      </c>
      <c r="Q23" s="84"/>
    </row>
    <row r="24" spans="1:17" s="7" customFormat="1" x14ac:dyDescent="0.3">
      <c r="A24" s="22">
        <v>4513</v>
      </c>
      <c r="B24" s="43" t="s">
        <v>258</v>
      </c>
      <c r="C24" s="14">
        <f t="shared" si="2"/>
        <v>4.0342242490555395E-3</v>
      </c>
      <c r="D24" s="15">
        <v>15000</v>
      </c>
      <c r="E24" s="15">
        <f t="shared" si="12"/>
        <v>15000</v>
      </c>
      <c r="F24" s="15">
        <f t="shared" ref="F24:O24" si="14">E24</f>
        <v>15000</v>
      </c>
      <c r="G24" s="15">
        <f>F24</f>
        <v>15000</v>
      </c>
      <c r="H24" s="15">
        <f t="shared" si="14"/>
        <v>15000</v>
      </c>
      <c r="I24" s="15">
        <f t="shared" si="14"/>
        <v>15000</v>
      </c>
      <c r="J24" s="15">
        <f t="shared" si="14"/>
        <v>15000</v>
      </c>
      <c r="K24" s="15">
        <f t="shared" si="14"/>
        <v>15000</v>
      </c>
      <c r="L24" s="15">
        <f t="shared" si="14"/>
        <v>15000</v>
      </c>
      <c r="M24" s="15">
        <f t="shared" si="14"/>
        <v>15000</v>
      </c>
      <c r="N24" s="15">
        <f t="shared" si="14"/>
        <v>15000</v>
      </c>
      <c r="O24" s="15">
        <f t="shared" si="14"/>
        <v>15000</v>
      </c>
      <c r="P24" s="15">
        <f t="shared" si="3"/>
        <v>180000</v>
      </c>
      <c r="Q24" s="84"/>
    </row>
    <row r="25" spans="1:17" s="7" customFormat="1" x14ac:dyDescent="0.3">
      <c r="A25" s="22">
        <v>4514</v>
      </c>
      <c r="B25" s="43" t="s">
        <v>276</v>
      </c>
      <c r="C25" s="14">
        <f t="shared" si="2"/>
        <v>1.0085560622638849E-2</v>
      </c>
      <c r="D25" s="15">
        <v>0</v>
      </c>
      <c r="E25" s="15">
        <f t="shared" si="12"/>
        <v>0</v>
      </c>
      <c r="F25" s="15">
        <f t="shared" si="13"/>
        <v>0</v>
      </c>
      <c r="G25" s="15">
        <v>120000</v>
      </c>
      <c r="H25" s="15">
        <f t="shared" si="13"/>
        <v>120000</v>
      </c>
      <c r="I25" s="15">
        <v>0</v>
      </c>
      <c r="J25" s="15">
        <f t="shared" si="13"/>
        <v>0</v>
      </c>
      <c r="K25" s="15">
        <f t="shared" si="13"/>
        <v>0</v>
      </c>
      <c r="L25" s="15">
        <f t="shared" si="13"/>
        <v>0</v>
      </c>
      <c r="M25" s="15">
        <v>70000</v>
      </c>
      <c r="N25" s="15">
        <f t="shared" si="13"/>
        <v>70000</v>
      </c>
      <c r="O25" s="15">
        <f t="shared" si="13"/>
        <v>70000</v>
      </c>
      <c r="P25" s="15">
        <f t="shared" si="3"/>
        <v>450000</v>
      </c>
      <c r="Q25" s="84"/>
    </row>
    <row r="26" spans="1:17" s="7" customFormat="1" x14ac:dyDescent="0.3">
      <c r="A26" s="22">
        <v>4515</v>
      </c>
      <c r="B26" s="43" t="s">
        <v>408</v>
      </c>
      <c r="C26" s="14">
        <f t="shared" si="2"/>
        <v>2.3532974786157311E-2</v>
      </c>
      <c r="D26" s="15">
        <v>50000</v>
      </c>
      <c r="E26" s="15">
        <f t="shared" si="12"/>
        <v>50000</v>
      </c>
      <c r="F26" s="15">
        <v>50000</v>
      </c>
      <c r="G26" s="15">
        <v>100000</v>
      </c>
      <c r="H26" s="15">
        <f t="shared" si="13"/>
        <v>100000</v>
      </c>
      <c r="I26" s="15">
        <f t="shared" ref="I26" si="15">H26</f>
        <v>100000</v>
      </c>
      <c r="J26" s="15">
        <f>I26</f>
        <v>100000</v>
      </c>
      <c r="K26" s="15">
        <v>100000</v>
      </c>
      <c r="L26" s="15">
        <f t="shared" si="13"/>
        <v>100000</v>
      </c>
      <c r="M26" s="15">
        <f t="shared" si="13"/>
        <v>100000</v>
      </c>
      <c r="N26" s="15">
        <f t="shared" si="13"/>
        <v>100000</v>
      </c>
      <c r="O26" s="15">
        <f>N26</f>
        <v>100000</v>
      </c>
      <c r="P26" s="15">
        <f t="shared" si="3"/>
        <v>1050000</v>
      </c>
      <c r="Q26" s="84"/>
    </row>
    <row r="27" spans="1:17" s="7" customFormat="1" x14ac:dyDescent="0.3">
      <c r="A27" s="22">
        <v>4505</v>
      </c>
      <c r="B27" s="43" t="s">
        <v>71</v>
      </c>
      <c r="C27" s="14">
        <f t="shared" si="2"/>
        <v>2.0171121245277698E-2</v>
      </c>
      <c r="D27" s="15">
        <v>75000</v>
      </c>
      <c r="E27" s="15">
        <f t="shared" si="12"/>
        <v>75000</v>
      </c>
      <c r="F27" s="15">
        <f t="shared" ref="F27:O28" si="16">E27</f>
        <v>75000</v>
      </c>
      <c r="G27" s="15">
        <f t="shared" si="16"/>
        <v>75000</v>
      </c>
      <c r="H27" s="15">
        <f t="shared" si="16"/>
        <v>75000</v>
      </c>
      <c r="I27" s="15">
        <f t="shared" si="16"/>
        <v>75000</v>
      </c>
      <c r="J27" s="15">
        <f t="shared" si="16"/>
        <v>75000</v>
      </c>
      <c r="K27" s="15">
        <f t="shared" si="16"/>
        <v>75000</v>
      </c>
      <c r="L27" s="15">
        <f t="shared" si="16"/>
        <v>75000</v>
      </c>
      <c r="M27" s="15">
        <f t="shared" si="16"/>
        <v>75000</v>
      </c>
      <c r="N27" s="15">
        <f t="shared" si="16"/>
        <v>75000</v>
      </c>
      <c r="O27" s="15">
        <f t="shared" si="16"/>
        <v>75000</v>
      </c>
      <c r="P27" s="15">
        <f t="shared" si="3"/>
        <v>900000</v>
      </c>
      <c r="Q27" s="84"/>
    </row>
    <row r="28" spans="1:17" s="7" customFormat="1" x14ac:dyDescent="0.3">
      <c r="A28" s="22">
        <v>4509</v>
      </c>
      <c r="B28" s="43" t="s">
        <v>189</v>
      </c>
      <c r="C28" s="14">
        <f t="shared" si="2"/>
        <v>4.8410690988666474E-3</v>
      </c>
      <c r="D28" s="15">
        <v>18000</v>
      </c>
      <c r="E28" s="15">
        <f t="shared" si="12"/>
        <v>18000</v>
      </c>
      <c r="F28" s="15">
        <f>E28</f>
        <v>18000</v>
      </c>
      <c r="G28" s="15">
        <f t="shared" si="16"/>
        <v>18000</v>
      </c>
      <c r="H28" s="15">
        <f t="shared" si="16"/>
        <v>18000</v>
      </c>
      <c r="I28" s="15">
        <f t="shared" si="16"/>
        <v>18000</v>
      </c>
      <c r="J28" s="15">
        <f t="shared" si="16"/>
        <v>18000</v>
      </c>
      <c r="K28" s="15">
        <f t="shared" si="16"/>
        <v>18000</v>
      </c>
      <c r="L28" s="15">
        <f t="shared" si="16"/>
        <v>18000</v>
      </c>
      <c r="M28" s="15">
        <f t="shared" si="16"/>
        <v>18000</v>
      </c>
      <c r="N28" s="15">
        <f t="shared" si="16"/>
        <v>18000</v>
      </c>
      <c r="O28" s="15">
        <f t="shared" si="16"/>
        <v>18000</v>
      </c>
      <c r="P28" s="15">
        <f t="shared" si="3"/>
        <v>216000</v>
      </c>
      <c r="Q28" s="84"/>
    </row>
    <row r="29" spans="1:17" x14ac:dyDescent="0.3">
      <c r="B29" s="20" t="s">
        <v>119</v>
      </c>
      <c r="C29" s="56">
        <f t="shared" si="2"/>
        <v>0.44417134863944285</v>
      </c>
      <c r="D29" s="17">
        <f t="shared" ref="D29:O29" si="17">SUM(D10:D28)</f>
        <v>1252160.8152542375</v>
      </c>
      <c r="E29" s="17">
        <f t="shared" si="17"/>
        <v>1218348.4978813562</v>
      </c>
      <c r="F29" s="17">
        <f t="shared" si="17"/>
        <v>1612899.6822033899</v>
      </c>
      <c r="G29" s="17">
        <f t="shared" si="17"/>
        <v>1531326.2097457629</v>
      </c>
      <c r="H29" s="17">
        <f t="shared" si="17"/>
        <v>2215408.0783898309</v>
      </c>
      <c r="I29" s="17">
        <f t="shared" si="17"/>
        <v>1829011.1447033901</v>
      </c>
      <c r="J29" s="17">
        <f>SUM(J10:J28)</f>
        <v>1013138.9194915255</v>
      </c>
      <c r="K29" s="17">
        <f t="shared" si="17"/>
        <v>1564546.4305084748</v>
      </c>
      <c r="L29" s="17">
        <f t="shared" si="17"/>
        <v>2005751.341949153</v>
      </c>
      <c r="M29" s="17">
        <f t="shared" si="17"/>
        <v>2040781.6555084749</v>
      </c>
      <c r="N29" s="17">
        <f t="shared" si="17"/>
        <v>1842855.6292372881</v>
      </c>
      <c r="O29" s="17">
        <f t="shared" si="17"/>
        <v>1691916.9978813562</v>
      </c>
      <c r="P29" s="17">
        <f>SUM(P10:P28)</f>
        <v>19818145.40275424</v>
      </c>
      <c r="Q29" s="108">
        <f>P29/$P$7</f>
        <v>0.44417134863944285</v>
      </c>
    </row>
    <row r="30" spans="1:17" x14ac:dyDescent="0.3">
      <c r="A30" s="22"/>
      <c r="B30" s="21"/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7" x14ac:dyDescent="0.3">
      <c r="A31" s="23" t="s">
        <v>6</v>
      </c>
      <c r="B31" s="21"/>
      <c r="C31" s="18">
        <f>P31/$P$7</f>
        <v>0.55582865136055704</v>
      </c>
      <c r="D31" s="16">
        <f>D7-D29</f>
        <v>1980975.7867457625</v>
      </c>
      <c r="E31" s="16">
        <f t="shared" ref="E31:O31" si="18">E7-E29</f>
        <v>1902346.7796186437</v>
      </c>
      <c r="F31" s="16">
        <f t="shared" si="18"/>
        <v>2486039.4427966103</v>
      </c>
      <c r="G31" s="16">
        <f t="shared" si="18"/>
        <v>1786016.7677542372</v>
      </c>
      <c r="H31" s="16">
        <f t="shared" si="18"/>
        <v>1983972.6041101692</v>
      </c>
      <c r="I31" s="16">
        <f t="shared" si="18"/>
        <v>2528151.3710466102</v>
      </c>
      <c r="J31" s="16">
        <f t="shared" si="18"/>
        <v>1185968.5055084748</v>
      </c>
      <c r="K31" s="16">
        <f t="shared" si="18"/>
        <v>2145932.5174915255</v>
      </c>
      <c r="L31" s="16">
        <f t="shared" si="18"/>
        <v>2972407.2115508486</v>
      </c>
      <c r="M31" s="16">
        <f t="shared" si="18"/>
        <v>2654814.0679915263</v>
      </c>
      <c r="N31" s="16">
        <f t="shared" si="18"/>
        <v>1662473.363262712</v>
      </c>
      <c r="O31" s="16">
        <f t="shared" si="18"/>
        <v>1510999.7096186443</v>
      </c>
      <c r="P31" s="16">
        <f>SUM(D31:O31)</f>
        <v>24800098.127495762</v>
      </c>
      <c r="Q31" s="107"/>
    </row>
    <row r="32" spans="1:17" x14ac:dyDescent="0.3">
      <c r="A32" s="22"/>
      <c r="B32" s="21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7" x14ac:dyDescent="0.3">
      <c r="A33" s="23" t="s">
        <v>207</v>
      </c>
      <c r="B33" s="21"/>
      <c r="C33" s="14"/>
      <c r="D33" s="15"/>
      <c r="E33" s="15"/>
      <c r="F33" s="15"/>
      <c r="G33" s="58"/>
      <c r="H33" s="58"/>
      <c r="I33" s="58"/>
      <c r="J33" s="58"/>
      <c r="K33" s="58"/>
      <c r="L33" s="58"/>
      <c r="M33" s="58"/>
      <c r="N33" s="58"/>
      <c r="O33" s="58"/>
      <c r="P33" s="15"/>
    </row>
    <row r="34" spans="1:17" x14ac:dyDescent="0.3">
      <c r="A34" s="22">
        <v>5000</v>
      </c>
      <c r="B34" s="43" t="s">
        <v>131</v>
      </c>
      <c r="C34" s="14">
        <f t="shared" ref="C34:C51" si="19">P34/$P$7</f>
        <v>0.329359967817693</v>
      </c>
      <c r="D34" s="15">
        <f>'Fritzøe - forutsetn'!G45+'Fritzøe - forutsetn'!G46</f>
        <v>1258808.5427350427</v>
      </c>
      <c r="E34" s="15">
        <f>'Fritzøe - forutsetn'!H45+'Fritzøe - forutsetn'!H46</f>
        <v>1148522.3076923077</v>
      </c>
      <c r="F34" s="15">
        <f>'Fritzøe - forutsetn'!I45+'Fritzøe - forutsetn'!I46</f>
        <v>1317823.0384615385</v>
      </c>
      <c r="G34" s="15">
        <f>'Fritzøe - forutsetn'!J45+'Fritzøe - forutsetn'!J46</f>
        <v>1222192.4538461538</v>
      </c>
      <c r="H34" s="15">
        <f>'Fritzøe - forutsetn'!K45+'Fritzøe - forutsetn'!K46</f>
        <v>1386417.0403846158</v>
      </c>
      <c r="I34" s="15">
        <f>'Fritzøe - forutsetn'!L45+'Fritzøe - forutsetn'!L46</f>
        <v>1336047.0692307695</v>
      </c>
      <c r="J34" s="15">
        <f>'Fritzøe - forutsetn'!M45+'Fritzøe - forutsetn'!M46</f>
        <v>692284.78846153861</v>
      </c>
      <c r="K34" s="15">
        <f>'Fritzøe - forutsetn'!N45+'Fritzøe - forutsetn'!N46</f>
        <v>1076014.0615384614</v>
      </c>
      <c r="L34" s="15">
        <f>'Fritzøe - forutsetn'!O45+'Fritzøe - forutsetn'!O46</f>
        <v>1479519.3346153847</v>
      </c>
      <c r="M34" s="15">
        <f>'Fritzøe - forutsetn'!P45+'Fritzøe - forutsetn'!P46</f>
        <v>1414938.3346153847</v>
      </c>
      <c r="N34" s="15">
        <f>'Fritzøe - forutsetn'!Q45+'Fritzøe - forutsetn'!Q46</f>
        <v>1213056.155769231</v>
      </c>
      <c r="O34" s="15">
        <f>'Fritzøe - forutsetn'!R45+'Fritzøe - forutsetn'!R46</f>
        <v>1149840.125854701</v>
      </c>
      <c r="P34" s="15">
        <f t="shared" ref="P34:P42" si="20">SUM(D34:O34)</f>
        <v>14695463.25320513</v>
      </c>
    </row>
    <row r="35" spans="1:17" x14ac:dyDescent="0.3">
      <c r="A35" s="22">
        <v>5001</v>
      </c>
      <c r="B35" s="43" t="s">
        <v>205</v>
      </c>
      <c r="C35" s="14">
        <f t="shared" si="19"/>
        <v>1.9761598069061581E-3</v>
      </c>
      <c r="D35" s="15">
        <f>D34*0.6%</f>
        <v>7552.8512564102566</v>
      </c>
      <c r="E35" s="15">
        <f t="shared" ref="E35:O35" si="21">E34*0.6%</f>
        <v>6891.1338461538462</v>
      </c>
      <c r="F35" s="15">
        <f t="shared" si="21"/>
        <v>7906.9382307692313</v>
      </c>
      <c r="G35" s="15">
        <f t="shared" si="21"/>
        <v>7333.1547230769229</v>
      </c>
      <c r="H35" s="15">
        <f t="shared" si="21"/>
        <v>8318.5022423076953</v>
      </c>
      <c r="I35" s="15">
        <f t="shared" si="21"/>
        <v>8016.2824153846177</v>
      </c>
      <c r="J35" s="15">
        <f t="shared" si="21"/>
        <v>4153.7087307692318</v>
      </c>
      <c r="K35" s="15">
        <f t="shared" si="21"/>
        <v>6456.0843692307681</v>
      </c>
      <c r="L35" s="15">
        <f t="shared" si="21"/>
        <v>8877.1160076923079</v>
      </c>
      <c r="M35" s="15">
        <f t="shared" si="21"/>
        <v>8489.6300076923089</v>
      </c>
      <c r="N35" s="15">
        <f t="shared" si="21"/>
        <v>7278.3369346153868</v>
      </c>
      <c r="O35" s="15">
        <f t="shared" si="21"/>
        <v>6899.040755128206</v>
      </c>
      <c r="P35" s="15">
        <f t="shared" si="20"/>
        <v>88172.779519230797</v>
      </c>
    </row>
    <row r="36" spans="1:17" x14ac:dyDescent="0.3">
      <c r="A36" s="22">
        <v>5011</v>
      </c>
      <c r="B36" s="43" t="s">
        <v>125</v>
      </c>
      <c r="C36" s="14">
        <f t="shared" si="19"/>
        <v>5.6479139486777553E-3</v>
      </c>
      <c r="D36" s="15">
        <v>21000</v>
      </c>
      <c r="E36" s="15">
        <f>D36</f>
        <v>21000</v>
      </c>
      <c r="F36" s="15">
        <f t="shared" ref="F36:O36" si="22">E36</f>
        <v>21000</v>
      </c>
      <c r="G36" s="15">
        <f t="shared" si="22"/>
        <v>21000</v>
      </c>
      <c r="H36" s="15">
        <f t="shared" si="22"/>
        <v>21000</v>
      </c>
      <c r="I36" s="15">
        <f t="shared" si="22"/>
        <v>21000</v>
      </c>
      <c r="J36" s="15">
        <f t="shared" si="22"/>
        <v>21000</v>
      </c>
      <c r="K36" s="15">
        <f t="shared" si="22"/>
        <v>21000</v>
      </c>
      <c r="L36" s="15">
        <f t="shared" si="22"/>
        <v>21000</v>
      </c>
      <c r="M36" s="15">
        <f t="shared" si="22"/>
        <v>21000</v>
      </c>
      <c r="N36" s="15">
        <f t="shared" si="22"/>
        <v>21000</v>
      </c>
      <c r="O36" s="15">
        <f t="shared" si="22"/>
        <v>21000</v>
      </c>
      <c r="P36" s="15">
        <f t="shared" si="20"/>
        <v>252000</v>
      </c>
    </row>
    <row r="37" spans="1:17" x14ac:dyDescent="0.3">
      <c r="A37" s="22">
        <v>5092</v>
      </c>
      <c r="B37" s="43" t="s">
        <v>132</v>
      </c>
      <c r="C37" s="14">
        <f t="shared" si="19"/>
        <v>4.0438084988793227E-2</v>
      </c>
      <c r="D37" s="15">
        <f>SUM(D34:D36)*12/100</f>
        <v>154483.36727897439</v>
      </c>
      <c r="E37" s="15">
        <f t="shared" ref="E37:O37" si="23">SUM(E34:E36)*12/100</f>
        <v>141169.61298461538</v>
      </c>
      <c r="F37" s="15">
        <f t="shared" si="23"/>
        <v>161607.59720307693</v>
      </c>
      <c r="G37" s="15">
        <f t="shared" si="23"/>
        <v>150063.07302830767</v>
      </c>
      <c r="H37" s="15">
        <f t="shared" si="23"/>
        <v>169888.26511523084</v>
      </c>
      <c r="I37" s="15">
        <f t="shared" si="23"/>
        <v>163807.60219753851</v>
      </c>
      <c r="J37" s="15">
        <f t="shared" si="23"/>
        <v>86092.619663076941</v>
      </c>
      <c r="K37" s="15">
        <f t="shared" si="23"/>
        <v>132416.41750892307</v>
      </c>
      <c r="L37" s="15">
        <f t="shared" si="23"/>
        <v>181127.57407476925</v>
      </c>
      <c r="M37" s="15">
        <f t="shared" si="23"/>
        <v>173331.35575476926</v>
      </c>
      <c r="N37" s="15">
        <f t="shared" si="23"/>
        <v>148960.13912446157</v>
      </c>
      <c r="O37" s="15">
        <f t="shared" si="23"/>
        <v>141328.69999317953</v>
      </c>
      <c r="P37" s="15">
        <f t="shared" si="20"/>
        <v>1804276.3239269233</v>
      </c>
    </row>
    <row r="38" spans="1:17" x14ac:dyDescent="0.3">
      <c r="A38" s="22">
        <v>5110</v>
      </c>
      <c r="B38" s="21" t="s">
        <v>46</v>
      </c>
      <c r="C38" s="14">
        <f t="shared" si="19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f t="shared" si="20"/>
        <v>0</v>
      </c>
    </row>
    <row r="39" spans="1:17" x14ac:dyDescent="0.3">
      <c r="A39" s="22">
        <v>5200</v>
      </c>
      <c r="B39" s="43" t="s">
        <v>381</v>
      </c>
      <c r="C39" s="14">
        <f t="shared" si="19"/>
        <v>2.1515862661629541E-3</v>
      </c>
      <c r="D39" s="15">
        <v>8000</v>
      </c>
      <c r="E39" s="15">
        <f>D39</f>
        <v>8000</v>
      </c>
      <c r="F39" s="15">
        <f t="shared" ref="F39:O39" si="24">E39</f>
        <v>8000</v>
      </c>
      <c r="G39" s="15">
        <f t="shared" si="24"/>
        <v>8000</v>
      </c>
      <c r="H39" s="15">
        <f t="shared" si="24"/>
        <v>8000</v>
      </c>
      <c r="I39" s="15">
        <f t="shared" si="24"/>
        <v>8000</v>
      </c>
      <c r="J39" s="15">
        <f t="shared" si="24"/>
        <v>8000</v>
      </c>
      <c r="K39" s="15">
        <f t="shared" si="24"/>
        <v>8000</v>
      </c>
      <c r="L39" s="15">
        <f t="shared" si="24"/>
        <v>8000</v>
      </c>
      <c r="M39" s="15">
        <f t="shared" si="24"/>
        <v>8000</v>
      </c>
      <c r="N39" s="15">
        <f t="shared" si="24"/>
        <v>8000</v>
      </c>
      <c r="O39" s="15">
        <f t="shared" si="24"/>
        <v>8000</v>
      </c>
      <c r="P39" s="15">
        <f t="shared" si="20"/>
        <v>96000</v>
      </c>
    </row>
    <row r="40" spans="1:17" x14ac:dyDescent="0.3">
      <c r="A40" s="22">
        <v>5330</v>
      </c>
      <c r="B40" s="21" t="s">
        <v>20</v>
      </c>
      <c r="C40" s="14">
        <f t="shared" si="19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f t="shared" si="20"/>
        <v>0</v>
      </c>
    </row>
    <row r="41" spans="1:17" ht="12" customHeight="1" x14ac:dyDescent="0.3">
      <c r="A41" s="22">
        <v>5400</v>
      </c>
      <c r="B41" s="21" t="s">
        <v>7</v>
      </c>
      <c r="C41" s="14">
        <f t="shared" si="19"/>
        <v>2.6621739284288869E-2</v>
      </c>
      <c r="D41" s="15">
        <f t="shared" ref="D41:O41" si="25">SUM(D34:D36)*7.9%</f>
        <v>101701.55012532479</v>
      </c>
      <c r="E41" s="15">
        <f t="shared" si="25"/>
        <v>92936.661881538457</v>
      </c>
      <c r="F41" s="15">
        <f t="shared" si="25"/>
        <v>106391.66815869231</v>
      </c>
      <c r="G41" s="15">
        <f t="shared" si="25"/>
        <v>98791.523076969228</v>
      </c>
      <c r="H41" s="15">
        <f t="shared" si="25"/>
        <v>111843.10786752695</v>
      </c>
      <c r="I41" s="15">
        <f t="shared" si="25"/>
        <v>107840.00478004618</v>
      </c>
      <c r="J41" s="15">
        <f t="shared" si="25"/>
        <v>56677.641278192321</v>
      </c>
      <c r="K41" s="15">
        <f t="shared" si="25"/>
        <v>87174.141526707681</v>
      </c>
      <c r="L41" s="15">
        <f t="shared" si="25"/>
        <v>119242.31959922309</v>
      </c>
      <c r="M41" s="15">
        <f t="shared" si="25"/>
        <v>114109.80920522309</v>
      </c>
      <c r="N41" s="15">
        <f t="shared" si="25"/>
        <v>98065.424923603874</v>
      </c>
      <c r="O41" s="15">
        <f t="shared" si="25"/>
        <v>93041.394162176512</v>
      </c>
      <c r="P41" s="15">
        <f t="shared" si="20"/>
        <v>1187815.2465852243</v>
      </c>
    </row>
    <row r="42" spans="1:17" x14ac:dyDescent="0.3">
      <c r="A42" s="22">
        <v>5405</v>
      </c>
      <c r="B42" s="21" t="s">
        <v>24</v>
      </c>
      <c r="C42" s="14">
        <f t="shared" si="19"/>
        <v>3.1946087141146648E-3</v>
      </c>
      <c r="D42" s="15">
        <f t="shared" ref="D42:O42" si="26">SUM(D37*7.9%)</f>
        <v>12204.186015038977</v>
      </c>
      <c r="E42" s="15">
        <f t="shared" si="26"/>
        <v>11152.399425784615</v>
      </c>
      <c r="F42" s="15">
        <f t="shared" si="26"/>
        <v>12767.000179043078</v>
      </c>
      <c r="G42" s="15">
        <f t="shared" si="26"/>
        <v>11854.982769236307</v>
      </c>
      <c r="H42" s="15">
        <f t="shared" si="26"/>
        <v>13421.172944103237</v>
      </c>
      <c r="I42" s="15">
        <f t="shared" si="26"/>
        <v>12940.800573605542</v>
      </c>
      <c r="J42" s="15">
        <f t="shared" si="26"/>
        <v>6801.3169533830787</v>
      </c>
      <c r="K42" s="15">
        <f t="shared" si="26"/>
        <v>10460.896983204922</v>
      </c>
      <c r="L42" s="15">
        <f t="shared" si="26"/>
        <v>14309.07835190677</v>
      </c>
      <c r="M42" s="15">
        <f t="shared" si="26"/>
        <v>13693.177104626771</v>
      </c>
      <c r="N42" s="15">
        <f t="shared" si="26"/>
        <v>11767.850990832463</v>
      </c>
      <c r="O42" s="15">
        <f t="shared" si="26"/>
        <v>11164.967299461183</v>
      </c>
      <c r="P42" s="15">
        <f t="shared" si="20"/>
        <v>142537.82959022693</v>
      </c>
    </row>
    <row r="43" spans="1:17" x14ac:dyDescent="0.3">
      <c r="A43" s="22">
        <v>5700</v>
      </c>
      <c r="B43" s="43" t="s">
        <v>382</v>
      </c>
      <c r="C43" s="14">
        <f t="shared" si="19"/>
        <v>-1.0757931330814771E-3</v>
      </c>
      <c r="D43" s="15">
        <v>-8000</v>
      </c>
      <c r="E43" s="15">
        <f>D43</f>
        <v>-8000</v>
      </c>
      <c r="F43" s="15">
        <f t="shared" ref="F43:I43" si="27">E43</f>
        <v>-8000</v>
      </c>
      <c r="G43" s="15">
        <f t="shared" si="27"/>
        <v>-8000</v>
      </c>
      <c r="H43" s="15">
        <f t="shared" si="27"/>
        <v>-8000</v>
      </c>
      <c r="I43" s="15">
        <f t="shared" si="27"/>
        <v>-8000</v>
      </c>
      <c r="J43" s="15"/>
      <c r="K43" s="15"/>
      <c r="L43" s="15"/>
      <c r="M43" s="15"/>
      <c r="N43" s="15"/>
      <c r="O43" s="15"/>
      <c r="P43" s="15">
        <f>SUM(D43:O43)</f>
        <v>-48000</v>
      </c>
    </row>
    <row r="44" spans="1:17" x14ac:dyDescent="0.3">
      <c r="B44" s="20" t="s">
        <v>336</v>
      </c>
      <c r="C44" s="53">
        <f>P44/$P$7</f>
        <v>0.40831426769355511</v>
      </c>
      <c r="D44" s="17">
        <f>SUM(D34:D43)</f>
        <v>1555750.4974107915</v>
      </c>
      <c r="E44" s="17">
        <f t="shared" ref="E44:O44" si="28">SUM(E34:E43)</f>
        <v>1421672.1158304</v>
      </c>
      <c r="F44" s="17">
        <f t="shared" si="28"/>
        <v>1627496.2422331199</v>
      </c>
      <c r="G44" s="17">
        <f t="shared" si="28"/>
        <v>1511235.1874437437</v>
      </c>
      <c r="H44" s="17">
        <f t="shared" si="28"/>
        <v>1710888.0885537844</v>
      </c>
      <c r="I44" s="17">
        <f t="shared" si="28"/>
        <v>1649651.7591973445</v>
      </c>
      <c r="J44" s="17">
        <f t="shared" si="28"/>
        <v>875010.0750869601</v>
      </c>
      <c r="K44" s="17">
        <f t="shared" si="28"/>
        <v>1341521.6019265277</v>
      </c>
      <c r="L44" s="17">
        <f t="shared" si="28"/>
        <v>1832075.4226489761</v>
      </c>
      <c r="M44" s="17">
        <f t="shared" si="28"/>
        <v>1753562.3066876961</v>
      </c>
      <c r="N44" s="17">
        <f t="shared" si="28"/>
        <v>1508127.9077427445</v>
      </c>
      <c r="O44" s="17">
        <f t="shared" si="28"/>
        <v>1431274.2280646465</v>
      </c>
      <c r="P44" s="17">
        <f>SUM(P34:P43)</f>
        <v>18218265.432826735</v>
      </c>
      <c r="Q44" s="107"/>
    </row>
    <row r="45" spans="1:17" x14ac:dyDescent="0.3">
      <c r="A45" s="22"/>
      <c r="B45" s="21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7" x14ac:dyDescent="0.3">
      <c r="A46" s="23" t="s">
        <v>209</v>
      </c>
      <c r="B46" s="21"/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7" s="7" customFormat="1" x14ac:dyDescent="0.3">
      <c r="A47" s="22">
        <v>5920</v>
      </c>
      <c r="B47" s="21" t="s">
        <v>55</v>
      </c>
      <c r="C47" s="14">
        <f t="shared" si="19"/>
        <v>1.0757931330814771E-3</v>
      </c>
      <c r="D47" s="15">
        <v>4000</v>
      </c>
      <c r="E47" s="15">
        <f>D47</f>
        <v>4000</v>
      </c>
      <c r="F47" s="15">
        <f t="shared" ref="F47:O47" si="29">E47</f>
        <v>4000</v>
      </c>
      <c r="G47" s="15">
        <f t="shared" si="29"/>
        <v>4000</v>
      </c>
      <c r="H47" s="15">
        <f t="shared" si="29"/>
        <v>4000</v>
      </c>
      <c r="I47" s="15">
        <f t="shared" si="29"/>
        <v>4000</v>
      </c>
      <c r="J47" s="15">
        <f t="shared" si="29"/>
        <v>4000</v>
      </c>
      <c r="K47" s="15">
        <f t="shared" si="29"/>
        <v>4000</v>
      </c>
      <c r="L47" s="15">
        <f t="shared" si="29"/>
        <v>4000</v>
      </c>
      <c r="M47" s="15">
        <f t="shared" si="29"/>
        <v>4000</v>
      </c>
      <c r="N47" s="15">
        <f t="shared" si="29"/>
        <v>4000</v>
      </c>
      <c r="O47" s="15">
        <f t="shared" si="29"/>
        <v>4000</v>
      </c>
      <c r="P47" s="15">
        <f>SUM(D47:O47)</f>
        <v>48000</v>
      </c>
      <c r="Q47" s="84"/>
    </row>
    <row r="48" spans="1:17" x14ac:dyDescent="0.3">
      <c r="A48" s="22">
        <v>5945</v>
      </c>
      <c r="B48" s="43" t="s">
        <v>133</v>
      </c>
      <c r="C48" s="14">
        <f t="shared" si="19"/>
        <v>9.8807990345307888E-3</v>
      </c>
      <c r="D48" s="15">
        <f>D34*3/100</f>
        <v>37764.256282051283</v>
      </c>
      <c r="E48" s="15">
        <f t="shared" ref="E48:O48" si="30">E34*3/100</f>
        <v>34455.669230769228</v>
      </c>
      <c r="F48" s="15">
        <f t="shared" si="30"/>
        <v>39534.691153846157</v>
      </c>
      <c r="G48" s="15">
        <f t="shared" si="30"/>
        <v>36665.773615384613</v>
      </c>
      <c r="H48" s="15">
        <f t="shared" si="30"/>
        <v>41592.511211538476</v>
      </c>
      <c r="I48" s="15">
        <f t="shared" si="30"/>
        <v>40081.412076923087</v>
      </c>
      <c r="J48" s="15">
        <f t="shared" si="30"/>
        <v>20768.543653846158</v>
      </c>
      <c r="K48" s="15">
        <f t="shared" si="30"/>
        <v>32280.42184615384</v>
      </c>
      <c r="L48" s="15">
        <f t="shared" si="30"/>
        <v>44385.580038461536</v>
      </c>
      <c r="M48" s="15">
        <f t="shared" si="30"/>
        <v>42448.150038461536</v>
      </c>
      <c r="N48" s="15">
        <f t="shared" si="30"/>
        <v>36391.684673076932</v>
      </c>
      <c r="O48" s="15">
        <f t="shared" si="30"/>
        <v>34495.203775641035</v>
      </c>
      <c r="P48" s="15">
        <f>SUM(D48:O48)</f>
        <v>440863.8975961539</v>
      </c>
    </row>
    <row r="49" spans="1:17" x14ac:dyDescent="0.3">
      <c r="A49" s="22">
        <v>5950</v>
      </c>
      <c r="B49" s="43" t="s">
        <v>380</v>
      </c>
      <c r="C49" s="14">
        <f t="shared" si="19"/>
        <v>1.6136896996222156E-3</v>
      </c>
      <c r="D49" s="15">
        <v>6000</v>
      </c>
      <c r="E49" s="15">
        <f>D49</f>
        <v>6000</v>
      </c>
      <c r="F49" s="15">
        <f t="shared" ref="F49:O50" si="31">E49</f>
        <v>6000</v>
      </c>
      <c r="G49" s="15">
        <f t="shared" si="31"/>
        <v>6000</v>
      </c>
      <c r="H49" s="15">
        <f t="shared" si="31"/>
        <v>6000</v>
      </c>
      <c r="I49" s="15">
        <f t="shared" si="31"/>
        <v>6000</v>
      </c>
      <c r="J49" s="15">
        <f t="shared" si="31"/>
        <v>6000</v>
      </c>
      <c r="K49" s="15">
        <f t="shared" si="31"/>
        <v>6000</v>
      </c>
      <c r="L49" s="15">
        <f t="shared" si="31"/>
        <v>6000</v>
      </c>
      <c r="M49" s="15">
        <f t="shared" si="31"/>
        <v>6000</v>
      </c>
      <c r="N49" s="15">
        <f t="shared" si="31"/>
        <v>6000</v>
      </c>
      <c r="O49" s="15">
        <f t="shared" si="31"/>
        <v>6000</v>
      </c>
      <c r="P49" s="15">
        <f>SUM(D49:O49)</f>
        <v>72000</v>
      </c>
    </row>
    <row r="50" spans="1:17" x14ac:dyDescent="0.3">
      <c r="A50" s="22">
        <v>5960</v>
      </c>
      <c r="B50" s="43" t="s">
        <v>379</v>
      </c>
      <c r="C50" s="14">
        <f t="shared" si="19"/>
        <v>6.7237070817592322E-4</v>
      </c>
      <c r="D50" s="15">
        <v>2500</v>
      </c>
      <c r="E50" s="15">
        <f>D50</f>
        <v>2500</v>
      </c>
      <c r="F50" s="15">
        <f t="shared" si="31"/>
        <v>2500</v>
      </c>
      <c r="G50" s="15">
        <f t="shared" si="31"/>
        <v>2500</v>
      </c>
      <c r="H50" s="15">
        <f t="shared" si="31"/>
        <v>2500</v>
      </c>
      <c r="I50" s="15">
        <f t="shared" si="31"/>
        <v>2500</v>
      </c>
      <c r="J50" s="15">
        <f t="shared" si="31"/>
        <v>2500</v>
      </c>
      <c r="K50" s="15">
        <f t="shared" si="31"/>
        <v>2500</v>
      </c>
      <c r="L50" s="15">
        <f t="shared" si="31"/>
        <v>2500</v>
      </c>
      <c r="M50" s="15">
        <f t="shared" si="31"/>
        <v>2500</v>
      </c>
      <c r="N50" s="15">
        <f t="shared" si="31"/>
        <v>2500</v>
      </c>
      <c r="O50" s="15">
        <f t="shared" si="31"/>
        <v>2500</v>
      </c>
      <c r="P50" s="15">
        <f>SUM(D50:O50)</f>
        <v>30000</v>
      </c>
    </row>
    <row r="51" spans="1:17" x14ac:dyDescent="0.3">
      <c r="A51" s="22">
        <v>5990</v>
      </c>
      <c r="B51" s="21" t="s">
        <v>8</v>
      </c>
      <c r="C51" s="14">
        <f t="shared" si="19"/>
        <v>1.6136896996222156E-3</v>
      </c>
      <c r="D51" s="15">
        <v>6000</v>
      </c>
      <c r="E51" s="15">
        <f>D51</f>
        <v>6000</v>
      </c>
      <c r="F51" s="15">
        <f t="shared" ref="F51:O51" si="32">E51</f>
        <v>6000</v>
      </c>
      <c r="G51" s="15">
        <f t="shared" si="32"/>
        <v>6000</v>
      </c>
      <c r="H51" s="15">
        <f t="shared" si="32"/>
        <v>6000</v>
      </c>
      <c r="I51" s="15">
        <f t="shared" si="32"/>
        <v>6000</v>
      </c>
      <c r="J51" s="15">
        <f t="shared" si="32"/>
        <v>6000</v>
      </c>
      <c r="K51" s="15">
        <f t="shared" si="32"/>
        <v>6000</v>
      </c>
      <c r="L51" s="15">
        <f t="shared" si="32"/>
        <v>6000</v>
      </c>
      <c r="M51" s="15">
        <f t="shared" si="32"/>
        <v>6000</v>
      </c>
      <c r="N51" s="15">
        <f t="shared" si="32"/>
        <v>6000</v>
      </c>
      <c r="O51" s="15">
        <f t="shared" si="32"/>
        <v>6000</v>
      </c>
      <c r="P51" s="15">
        <f>SUM(D51:O51)</f>
        <v>72000</v>
      </c>
    </row>
    <row r="52" spans="1:17" x14ac:dyDescent="0.3">
      <c r="A52" s="23"/>
      <c r="B52" s="20" t="s">
        <v>210</v>
      </c>
      <c r="C52" s="56">
        <f>P52/$P$7</f>
        <v>1.4856342275032621E-2</v>
      </c>
      <c r="D52" s="17">
        <f>SUM(D47:D51)</f>
        <v>56264.256282051283</v>
      </c>
      <c r="E52" s="17">
        <f t="shared" ref="E52:O52" si="33">SUM(E47:E51)</f>
        <v>52955.669230769228</v>
      </c>
      <c r="F52" s="17">
        <f t="shared" si="33"/>
        <v>58034.691153846157</v>
      </c>
      <c r="G52" s="17">
        <f t="shared" si="33"/>
        <v>55165.773615384613</v>
      </c>
      <c r="H52" s="17">
        <f t="shared" si="33"/>
        <v>60092.511211538476</v>
      </c>
      <c r="I52" s="17">
        <f t="shared" si="33"/>
        <v>58581.412076923087</v>
      </c>
      <c r="J52" s="17">
        <f t="shared" si="33"/>
        <v>39268.543653846158</v>
      </c>
      <c r="K52" s="17">
        <f t="shared" si="33"/>
        <v>50780.42184615384</v>
      </c>
      <c r="L52" s="17">
        <f t="shared" si="33"/>
        <v>62885.580038461536</v>
      </c>
      <c r="M52" s="17">
        <f t="shared" si="33"/>
        <v>60948.150038461536</v>
      </c>
      <c r="N52" s="17">
        <f t="shared" si="33"/>
        <v>54891.684673076932</v>
      </c>
      <c r="O52" s="17">
        <f t="shared" si="33"/>
        <v>52995.203775641035</v>
      </c>
      <c r="P52" s="17">
        <f>SUM(P47:P51)</f>
        <v>662863.8975961539</v>
      </c>
    </row>
    <row r="53" spans="1:17" x14ac:dyDescent="0.3">
      <c r="A53" s="23"/>
      <c r="B53" s="23"/>
      <c r="C53" s="18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7" x14ac:dyDescent="0.3">
      <c r="A54" s="23"/>
      <c r="B54" s="23" t="s">
        <v>211</v>
      </c>
      <c r="C54" s="18"/>
      <c r="D54" s="16">
        <f>D44+D52</f>
        <v>1612014.7536928428</v>
      </c>
      <c r="E54" s="16">
        <f t="shared" ref="E54:P54" si="34">E44+E52</f>
        <v>1474627.7850611692</v>
      </c>
      <c r="F54" s="16">
        <f t="shared" si="34"/>
        <v>1685530.9333869661</v>
      </c>
      <c r="G54" s="16">
        <f t="shared" si="34"/>
        <v>1566400.9610591284</v>
      </c>
      <c r="H54" s="16">
        <f t="shared" si="34"/>
        <v>1770980.5997653229</v>
      </c>
      <c r="I54" s="16">
        <f t="shared" si="34"/>
        <v>1708233.1712742676</v>
      </c>
      <c r="J54" s="16">
        <f t="shared" si="34"/>
        <v>914278.61874080624</v>
      </c>
      <c r="K54" s="16">
        <f t="shared" si="34"/>
        <v>1392302.0237726816</v>
      </c>
      <c r="L54" s="16">
        <f t="shared" si="34"/>
        <v>1894961.0026874377</v>
      </c>
      <c r="M54" s="16">
        <f t="shared" si="34"/>
        <v>1814510.4567261576</v>
      </c>
      <c r="N54" s="16">
        <f t="shared" si="34"/>
        <v>1563019.5924158215</v>
      </c>
      <c r="O54" s="16">
        <f t="shared" si="34"/>
        <v>1484269.4318402875</v>
      </c>
      <c r="P54" s="16">
        <f t="shared" si="34"/>
        <v>18881129.330422889</v>
      </c>
      <c r="Q54" s="108">
        <f>P54/$P$7</f>
        <v>0.42317060996858774</v>
      </c>
    </row>
    <row r="55" spans="1:17" x14ac:dyDescent="0.3">
      <c r="A55" s="23"/>
      <c r="B55" s="23"/>
      <c r="C55" s="18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07"/>
    </row>
    <row r="56" spans="1:17" x14ac:dyDescent="0.3">
      <c r="A56" s="23" t="s">
        <v>244</v>
      </c>
      <c r="B56" s="21"/>
      <c r="C56" s="18">
        <f>P56/$P$7</f>
        <v>0.13265804139196932</v>
      </c>
      <c r="D56" s="16">
        <f>D31-D54</f>
        <v>368961.03305291967</v>
      </c>
      <c r="E56" s="16">
        <f t="shared" ref="E56:P56" si="35">E31-E54</f>
        <v>427718.99455747451</v>
      </c>
      <c r="F56" s="16">
        <f t="shared" si="35"/>
        <v>800508.50940964418</v>
      </c>
      <c r="G56" s="16">
        <f t="shared" si="35"/>
        <v>219615.80669510877</v>
      </c>
      <c r="H56" s="16">
        <f t="shared" si="35"/>
        <v>212992.00434484635</v>
      </c>
      <c r="I56" s="16">
        <f t="shared" si="35"/>
        <v>819918.19977234257</v>
      </c>
      <c r="J56" s="16">
        <f t="shared" si="35"/>
        <v>271689.88676766853</v>
      </c>
      <c r="K56" s="16">
        <f t="shared" si="35"/>
        <v>753630.49371884391</v>
      </c>
      <c r="L56" s="16">
        <f t="shared" si="35"/>
        <v>1077446.2088634109</v>
      </c>
      <c r="M56" s="16">
        <f t="shared" si="35"/>
        <v>840303.61126536876</v>
      </c>
      <c r="N56" s="16">
        <f t="shared" si="35"/>
        <v>99453.770846890518</v>
      </c>
      <c r="O56" s="16">
        <f t="shared" si="35"/>
        <v>26730.277778356802</v>
      </c>
      <c r="P56" s="16">
        <f t="shared" si="35"/>
        <v>5918968.7970728725</v>
      </c>
      <c r="Q56" s="108">
        <f>P56/$P$7</f>
        <v>0.13265804139196932</v>
      </c>
    </row>
    <row r="57" spans="1:17" x14ac:dyDescent="0.3">
      <c r="A57" s="22"/>
      <c r="B57" s="21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7" x14ac:dyDescent="0.3">
      <c r="A58" s="23" t="s">
        <v>9</v>
      </c>
      <c r="B58" s="21"/>
      <c r="C58" s="14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7" x14ac:dyDescent="0.3">
      <c r="A59" s="22">
        <v>6000</v>
      </c>
      <c r="B59" s="21" t="s">
        <v>21</v>
      </c>
      <c r="C59" s="14">
        <f>P59/$P$7</f>
        <v>5.3789656654073858E-3</v>
      </c>
      <c r="D59" s="15">
        <v>20000</v>
      </c>
      <c r="E59" s="15">
        <f>D59</f>
        <v>20000</v>
      </c>
      <c r="F59" s="15">
        <f t="shared" ref="F59:O59" si="36">E59</f>
        <v>20000</v>
      </c>
      <c r="G59" s="15">
        <f t="shared" si="36"/>
        <v>20000</v>
      </c>
      <c r="H59" s="15">
        <f t="shared" si="36"/>
        <v>20000</v>
      </c>
      <c r="I59" s="15">
        <f t="shared" si="36"/>
        <v>20000</v>
      </c>
      <c r="J59" s="15">
        <f t="shared" si="36"/>
        <v>20000</v>
      </c>
      <c r="K59" s="15">
        <f t="shared" si="36"/>
        <v>20000</v>
      </c>
      <c r="L59" s="15">
        <f t="shared" si="36"/>
        <v>20000</v>
      </c>
      <c r="M59" s="15">
        <f t="shared" si="36"/>
        <v>20000</v>
      </c>
      <c r="N59" s="15">
        <f t="shared" si="36"/>
        <v>20000</v>
      </c>
      <c r="O59" s="15">
        <f t="shared" si="36"/>
        <v>20000</v>
      </c>
      <c r="P59" s="15">
        <f>SUM(D59:O59)</f>
        <v>240000</v>
      </c>
    </row>
    <row r="60" spans="1:17" x14ac:dyDescent="0.3">
      <c r="A60" s="23"/>
      <c r="B60" s="20" t="s">
        <v>37</v>
      </c>
      <c r="C60" s="26">
        <f>P60/$P$7</f>
        <v>5.3789656654073858E-3</v>
      </c>
      <c r="D60" s="17">
        <f t="shared" ref="D60:O60" si="37">SUM(D59:D59)</f>
        <v>20000</v>
      </c>
      <c r="E60" s="17">
        <f t="shared" si="37"/>
        <v>20000</v>
      </c>
      <c r="F60" s="17">
        <f t="shared" si="37"/>
        <v>20000</v>
      </c>
      <c r="G60" s="17">
        <f t="shared" si="37"/>
        <v>20000</v>
      </c>
      <c r="H60" s="17">
        <f t="shared" si="37"/>
        <v>20000</v>
      </c>
      <c r="I60" s="17">
        <f t="shared" si="37"/>
        <v>20000</v>
      </c>
      <c r="J60" s="17">
        <f t="shared" si="37"/>
        <v>20000</v>
      </c>
      <c r="K60" s="17">
        <f t="shared" si="37"/>
        <v>20000</v>
      </c>
      <c r="L60" s="17">
        <f t="shared" si="37"/>
        <v>20000</v>
      </c>
      <c r="M60" s="17">
        <f t="shared" si="37"/>
        <v>20000</v>
      </c>
      <c r="N60" s="17">
        <f t="shared" si="37"/>
        <v>20000</v>
      </c>
      <c r="O60" s="17">
        <f t="shared" si="37"/>
        <v>20000</v>
      </c>
      <c r="P60" s="17">
        <f>SUM(P59:P59)</f>
        <v>240000</v>
      </c>
    </row>
    <row r="61" spans="1:17" x14ac:dyDescent="0.3">
      <c r="A61" s="22"/>
      <c r="B61" s="21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7" x14ac:dyDescent="0.3">
      <c r="A62" s="23" t="s">
        <v>10</v>
      </c>
      <c r="B62" s="21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7" s="7" customFormat="1" x14ac:dyDescent="0.3">
      <c r="A63" s="22">
        <v>6300</v>
      </c>
      <c r="B63" s="21" t="s">
        <v>18</v>
      </c>
      <c r="C63" s="14">
        <f>P63/$P$7</f>
        <v>4.5535633840506221E-3</v>
      </c>
      <c r="D63" s="46">
        <f>16931</f>
        <v>16931</v>
      </c>
      <c r="E63" s="15">
        <f>D63</f>
        <v>16931</v>
      </c>
      <c r="F63" s="15">
        <f t="shared" ref="F63:O69" si="38">E63</f>
        <v>16931</v>
      </c>
      <c r="G63" s="15">
        <f t="shared" si="38"/>
        <v>16931</v>
      </c>
      <c r="H63" s="15">
        <f t="shared" si="38"/>
        <v>16931</v>
      </c>
      <c r="I63" s="15">
        <f t="shared" si="38"/>
        <v>16931</v>
      </c>
      <c r="J63" s="15">
        <f t="shared" si="38"/>
        <v>16931</v>
      </c>
      <c r="K63" s="15">
        <f t="shared" si="38"/>
        <v>16931</v>
      </c>
      <c r="L63" s="15">
        <f t="shared" si="38"/>
        <v>16931</v>
      </c>
      <c r="M63" s="15">
        <f t="shared" si="38"/>
        <v>16931</v>
      </c>
      <c r="N63" s="15">
        <f t="shared" si="38"/>
        <v>16931</v>
      </c>
      <c r="O63" s="15">
        <f t="shared" si="38"/>
        <v>16931</v>
      </c>
      <c r="P63" s="15">
        <f>SUM(D63:O63)</f>
        <v>203172</v>
      </c>
      <c r="Q63" s="84"/>
    </row>
    <row r="64" spans="1:17" s="7" customFormat="1" x14ac:dyDescent="0.3">
      <c r="A64" s="22">
        <v>6301</v>
      </c>
      <c r="B64" s="43" t="s">
        <v>384</v>
      </c>
      <c r="C64" s="14">
        <f t="shared" ref="C64:C65" si="39">P64/$P$7</f>
        <v>6.7237070817592322E-4</v>
      </c>
      <c r="D64" s="46">
        <f>1500+2500</f>
        <v>4000</v>
      </c>
      <c r="E64" s="46">
        <f t="shared" ref="E64:I64" si="40">1500+2500</f>
        <v>4000</v>
      </c>
      <c r="F64" s="46">
        <f t="shared" si="40"/>
        <v>4000</v>
      </c>
      <c r="G64" s="46">
        <f t="shared" si="40"/>
        <v>4000</v>
      </c>
      <c r="H64" s="46">
        <f t="shared" si="40"/>
        <v>4000</v>
      </c>
      <c r="I64" s="46">
        <f t="shared" si="40"/>
        <v>4000</v>
      </c>
      <c r="J64" s="46">
        <v>1000</v>
      </c>
      <c r="K64" s="46">
        <f>J64</f>
        <v>1000</v>
      </c>
      <c r="L64" s="46">
        <f t="shared" si="38"/>
        <v>1000</v>
      </c>
      <c r="M64" s="46">
        <f t="shared" si="38"/>
        <v>1000</v>
      </c>
      <c r="N64" s="46">
        <f t="shared" si="38"/>
        <v>1000</v>
      </c>
      <c r="O64" s="46">
        <f t="shared" si="38"/>
        <v>1000</v>
      </c>
      <c r="P64" s="15">
        <f t="shared" ref="P64:P65" si="41">SUM(D64:O64)</f>
        <v>30000</v>
      </c>
      <c r="Q64" s="84"/>
    </row>
    <row r="65" spans="1:17" s="7" customFormat="1" x14ac:dyDescent="0.3">
      <c r="A65" s="22">
        <v>6302</v>
      </c>
      <c r="B65" s="43" t="s">
        <v>385</v>
      </c>
      <c r="C65" s="14">
        <f t="shared" si="39"/>
        <v>1.680926770439808E-3</v>
      </c>
      <c r="D65" s="46">
        <f>75000/12</f>
        <v>6250</v>
      </c>
      <c r="E65" s="15">
        <f>D65</f>
        <v>6250</v>
      </c>
      <c r="F65" s="15">
        <f t="shared" ref="F65:K65" si="42">E65</f>
        <v>6250</v>
      </c>
      <c r="G65" s="15">
        <f t="shared" si="42"/>
        <v>6250</v>
      </c>
      <c r="H65" s="15">
        <f t="shared" si="42"/>
        <v>6250</v>
      </c>
      <c r="I65" s="15">
        <f t="shared" si="42"/>
        <v>6250</v>
      </c>
      <c r="J65" s="15">
        <f t="shared" si="42"/>
        <v>6250</v>
      </c>
      <c r="K65" s="15">
        <f t="shared" si="42"/>
        <v>6250</v>
      </c>
      <c r="L65" s="15">
        <f t="shared" si="38"/>
        <v>6250</v>
      </c>
      <c r="M65" s="15">
        <f t="shared" si="38"/>
        <v>6250</v>
      </c>
      <c r="N65" s="15">
        <f t="shared" si="38"/>
        <v>6250</v>
      </c>
      <c r="O65" s="15">
        <f t="shared" si="38"/>
        <v>6250</v>
      </c>
      <c r="P65" s="15">
        <f t="shared" si="41"/>
        <v>75000</v>
      </c>
      <c r="Q65" s="84"/>
    </row>
    <row r="66" spans="1:17" ht="12" customHeight="1" x14ac:dyDescent="0.3">
      <c r="A66" s="22">
        <v>6340</v>
      </c>
      <c r="B66" s="43" t="s">
        <v>135</v>
      </c>
      <c r="C66" s="14">
        <f>P66/$P$7</f>
        <v>4.841069098866647E-4</v>
      </c>
      <c r="D66" s="15">
        <v>1800</v>
      </c>
      <c r="E66" s="15">
        <f>D66</f>
        <v>1800</v>
      </c>
      <c r="F66" s="15">
        <f t="shared" si="38"/>
        <v>1800</v>
      </c>
      <c r="G66" s="15">
        <f t="shared" si="38"/>
        <v>1800</v>
      </c>
      <c r="H66" s="15">
        <f t="shared" si="38"/>
        <v>1800</v>
      </c>
      <c r="I66" s="15">
        <f t="shared" si="38"/>
        <v>1800</v>
      </c>
      <c r="J66" s="15">
        <f t="shared" si="38"/>
        <v>1800</v>
      </c>
      <c r="K66" s="15">
        <f t="shared" si="38"/>
        <v>1800</v>
      </c>
      <c r="L66" s="15">
        <f t="shared" si="38"/>
        <v>1800</v>
      </c>
      <c r="M66" s="15">
        <f t="shared" si="38"/>
        <v>1800</v>
      </c>
      <c r="N66" s="15">
        <f t="shared" si="38"/>
        <v>1800</v>
      </c>
      <c r="O66" s="15">
        <f t="shared" si="38"/>
        <v>1800</v>
      </c>
      <c r="P66" s="15">
        <f>SUM(D66:O66)</f>
        <v>21600</v>
      </c>
    </row>
    <row r="67" spans="1:17" x14ac:dyDescent="0.3">
      <c r="A67" s="22">
        <v>6360</v>
      </c>
      <c r="B67" s="21" t="s">
        <v>11</v>
      </c>
      <c r="C67" s="14">
        <f>P67/$P$7</f>
        <v>4.034224249055539E-4</v>
      </c>
      <c r="D67" s="15">
        <v>1500</v>
      </c>
      <c r="E67" s="15">
        <f>D67</f>
        <v>1500</v>
      </c>
      <c r="F67" s="15">
        <f t="shared" si="38"/>
        <v>1500</v>
      </c>
      <c r="G67" s="15">
        <f t="shared" si="38"/>
        <v>1500</v>
      </c>
      <c r="H67" s="15">
        <f t="shared" si="38"/>
        <v>1500</v>
      </c>
      <c r="I67" s="15">
        <f t="shared" si="38"/>
        <v>1500</v>
      </c>
      <c r="J67" s="15">
        <f t="shared" si="38"/>
        <v>1500</v>
      </c>
      <c r="K67" s="15">
        <f t="shared" si="38"/>
        <v>1500</v>
      </c>
      <c r="L67" s="15">
        <f t="shared" si="38"/>
        <v>1500</v>
      </c>
      <c r="M67" s="15">
        <f t="shared" si="38"/>
        <v>1500</v>
      </c>
      <c r="N67" s="15">
        <f t="shared" si="38"/>
        <v>1500</v>
      </c>
      <c r="O67" s="15">
        <f t="shared" si="38"/>
        <v>1500</v>
      </c>
      <c r="P67" s="15">
        <f>SUM(D67:O67)</f>
        <v>18000</v>
      </c>
    </row>
    <row r="68" spans="1:17" x14ac:dyDescent="0.3">
      <c r="A68" s="22"/>
      <c r="B68" s="43" t="s">
        <v>238</v>
      </c>
      <c r="C68" s="14"/>
      <c r="D68" s="15">
        <v>1500</v>
      </c>
      <c r="E68" s="15">
        <f>D68</f>
        <v>1500</v>
      </c>
      <c r="F68" s="15">
        <f t="shared" ref="F68" si="43">E68</f>
        <v>1500</v>
      </c>
      <c r="G68" s="15">
        <f t="shared" ref="G68" si="44">F68</f>
        <v>1500</v>
      </c>
      <c r="H68" s="15">
        <f t="shared" ref="H68" si="45">G68</f>
        <v>1500</v>
      </c>
      <c r="I68" s="15">
        <f t="shared" ref="I68" si="46">H68</f>
        <v>1500</v>
      </c>
      <c r="J68" s="15">
        <f t="shared" ref="J68" si="47">I68</f>
        <v>1500</v>
      </c>
      <c r="K68" s="15">
        <f t="shared" ref="K68" si="48">J68</f>
        <v>1500</v>
      </c>
      <c r="L68" s="15">
        <f t="shared" ref="L68" si="49">K68</f>
        <v>1500</v>
      </c>
      <c r="M68" s="15">
        <f t="shared" ref="M68" si="50">L68</f>
        <v>1500</v>
      </c>
      <c r="N68" s="15">
        <f t="shared" ref="N68" si="51">M68</f>
        <v>1500</v>
      </c>
      <c r="O68" s="15">
        <f t="shared" ref="O68" si="52">N68</f>
        <v>1500</v>
      </c>
      <c r="P68" s="15">
        <f>SUM(D68:O68)</f>
        <v>18000</v>
      </c>
    </row>
    <row r="69" spans="1:17" x14ac:dyDescent="0.3">
      <c r="A69" s="22">
        <v>6390</v>
      </c>
      <c r="B69" s="21" t="s">
        <v>12</v>
      </c>
      <c r="C69" s="14">
        <f>P69/$P$7</f>
        <v>6.7237070817592322E-4</v>
      </c>
      <c r="D69" s="15">
        <v>2500</v>
      </c>
      <c r="E69" s="15">
        <f>D69</f>
        <v>2500</v>
      </c>
      <c r="F69" s="15">
        <f t="shared" si="38"/>
        <v>2500</v>
      </c>
      <c r="G69" s="15">
        <f t="shared" si="38"/>
        <v>2500</v>
      </c>
      <c r="H69" s="15">
        <f t="shared" si="38"/>
        <v>2500</v>
      </c>
      <c r="I69" s="15">
        <f t="shared" si="38"/>
        <v>2500</v>
      </c>
      <c r="J69" s="15">
        <f t="shared" si="38"/>
        <v>2500</v>
      </c>
      <c r="K69" s="15">
        <f t="shared" si="38"/>
        <v>2500</v>
      </c>
      <c r="L69" s="15">
        <f t="shared" si="38"/>
        <v>2500</v>
      </c>
      <c r="M69" s="15">
        <f t="shared" si="38"/>
        <v>2500</v>
      </c>
      <c r="N69" s="15">
        <f t="shared" si="38"/>
        <v>2500</v>
      </c>
      <c r="O69" s="15">
        <f t="shared" si="38"/>
        <v>2500</v>
      </c>
      <c r="P69" s="15">
        <f>SUM(D69:O69)</f>
        <v>30000</v>
      </c>
    </row>
    <row r="70" spans="1:17" x14ac:dyDescent="0.3">
      <c r="A70" s="23"/>
      <c r="B70" s="20" t="s">
        <v>38</v>
      </c>
      <c r="C70" s="26">
        <f>P70/$P$7</f>
        <v>8.8701833305400487E-3</v>
      </c>
      <c r="D70" s="17">
        <f t="shared" ref="D70:P70" si="53">SUM(D63:D69)</f>
        <v>34481</v>
      </c>
      <c r="E70" s="17">
        <f t="shared" si="53"/>
        <v>34481</v>
      </c>
      <c r="F70" s="17">
        <f t="shared" si="53"/>
        <v>34481</v>
      </c>
      <c r="G70" s="17">
        <f t="shared" si="53"/>
        <v>34481</v>
      </c>
      <c r="H70" s="17">
        <f t="shared" si="53"/>
        <v>34481</v>
      </c>
      <c r="I70" s="17">
        <f t="shared" si="53"/>
        <v>34481</v>
      </c>
      <c r="J70" s="17">
        <f t="shared" si="53"/>
        <v>31481</v>
      </c>
      <c r="K70" s="17">
        <f t="shared" si="53"/>
        <v>31481</v>
      </c>
      <c r="L70" s="17">
        <f t="shared" si="53"/>
        <v>31481</v>
      </c>
      <c r="M70" s="17">
        <f t="shared" si="53"/>
        <v>31481</v>
      </c>
      <c r="N70" s="17">
        <f t="shared" si="53"/>
        <v>31481</v>
      </c>
      <c r="O70" s="17">
        <f t="shared" si="53"/>
        <v>31481</v>
      </c>
      <c r="P70" s="17">
        <f t="shared" si="53"/>
        <v>395772</v>
      </c>
    </row>
    <row r="71" spans="1:17" x14ac:dyDescent="0.3">
      <c r="A71" s="23"/>
      <c r="B71" s="23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7" x14ac:dyDescent="0.3">
      <c r="A72" s="23" t="s">
        <v>74</v>
      </c>
      <c r="B72" s="21"/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7" x14ac:dyDescent="0.3">
      <c r="A73" s="22">
        <v>6415</v>
      </c>
      <c r="B73" s="43" t="s">
        <v>371</v>
      </c>
      <c r="C73" s="14">
        <f>P73/$P$7</f>
        <v>1.795229790829715E-3</v>
      </c>
      <c r="D73" s="46">
        <v>6675</v>
      </c>
      <c r="E73" s="15">
        <f t="shared" ref="E73:O73" si="54">D73</f>
        <v>6675</v>
      </c>
      <c r="F73" s="15">
        <f t="shared" si="54"/>
        <v>6675</v>
      </c>
      <c r="G73" s="15">
        <f t="shared" si="54"/>
        <v>6675</v>
      </c>
      <c r="H73" s="15">
        <f t="shared" si="54"/>
        <v>6675</v>
      </c>
      <c r="I73" s="15">
        <f t="shared" si="54"/>
        <v>6675</v>
      </c>
      <c r="J73" s="15">
        <f t="shared" si="54"/>
        <v>6675</v>
      </c>
      <c r="K73" s="15">
        <f t="shared" si="54"/>
        <v>6675</v>
      </c>
      <c r="L73" s="15">
        <f t="shared" si="54"/>
        <v>6675</v>
      </c>
      <c r="M73" s="15">
        <f t="shared" si="54"/>
        <v>6675</v>
      </c>
      <c r="N73" s="15">
        <f t="shared" si="54"/>
        <v>6675</v>
      </c>
      <c r="O73" s="15">
        <f t="shared" si="54"/>
        <v>6675</v>
      </c>
      <c r="P73" s="15">
        <f t="shared" ref="P73:P78" si="55">SUM(D73:O73)</f>
        <v>80100</v>
      </c>
    </row>
    <row r="74" spans="1:17" x14ac:dyDescent="0.3">
      <c r="A74" s="22">
        <v>6418</v>
      </c>
      <c r="B74" s="43" t="s">
        <v>337</v>
      </c>
      <c r="C74" s="14">
        <f>P74/$P$7</f>
        <v>2.0076989346133065E-3</v>
      </c>
      <c r="D74" s="46">
        <v>7465</v>
      </c>
      <c r="E74" s="15">
        <f t="shared" ref="E74:O74" si="56">D74</f>
        <v>7465</v>
      </c>
      <c r="F74" s="15">
        <f t="shared" si="56"/>
        <v>7465</v>
      </c>
      <c r="G74" s="15">
        <f t="shared" si="56"/>
        <v>7465</v>
      </c>
      <c r="H74" s="15">
        <f t="shared" si="56"/>
        <v>7465</v>
      </c>
      <c r="I74" s="15">
        <f t="shared" si="56"/>
        <v>7465</v>
      </c>
      <c r="J74" s="15">
        <f t="shared" si="56"/>
        <v>7465</v>
      </c>
      <c r="K74" s="15">
        <f t="shared" si="56"/>
        <v>7465</v>
      </c>
      <c r="L74" s="15">
        <f t="shared" si="56"/>
        <v>7465</v>
      </c>
      <c r="M74" s="15">
        <f t="shared" si="56"/>
        <v>7465</v>
      </c>
      <c r="N74" s="15">
        <f t="shared" si="56"/>
        <v>7465</v>
      </c>
      <c r="O74" s="15">
        <f t="shared" si="56"/>
        <v>7465</v>
      </c>
      <c r="P74" s="15">
        <f t="shared" si="55"/>
        <v>89580</v>
      </c>
    </row>
    <row r="75" spans="1:17" x14ac:dyDescent="0.3">
      <c r="A75" s="22">
        <v>6419</v>
      </c>
      <c r="B75" s="43" t="s">
        <v>372</v>
      </c>
      <c r="C75" s="14">
        <f t="shared" ref="C75:C79" si="57">P75/$P$7</f>
        <v>1.2121499126995544E-3</v>
      </c>
      <c r="D75" s="46">
        <v>4507</v>
      </c>
      <c r="E75" s="15">
        <f t="shared" ref="E75:O75" si="58">D75</f>
        <v>4507</v>
      </c>
      <c r="F75" s="15">
        <f t="shared" si="58"/>
        <v>4507</v>
      </c>
      <c r="G75" s="15">
        <f t="shared" si="58"/>
        <v>4507</v>
      </c>
      <c r="H75" s="15">
        <f t="shared" si="58"/>
        <v>4507</v>
      </c>
      <c r="I75" s="15">
        <f t="shared" si="58"/>
        <v>4507</v>
      </c>
      <c r="J75" s="15">
        <f t="shared" si="58"/>
        <v>4507</v>
      </c>
      <c r="K75" s="15">
        <f t="shared" si="58"/>
        <v>4507</v>
      </c>
      <c r="L75" s="15">
        <f t="shared" si="58"/>
        <v>4507</v>
      </c>
      <c r="M75" s="15">
        <f t="shared" si="58"/>
        <v>4507</v>
      </c>
      <c r="N75" s="15">
        <f t="shared" si="58"/>
        <v>4507</v>
      </c>
      <c r="O75" s="15">
        <f t="shared" si="58"/>
        <v>4507</v>
      </c>
      <c r="P75" s="15">
        <f t="shared" si="55"/>
        <v>54084</v>
      </c>
    </row>
    <row r="76" spans="1:17" x14ac:dyDescent="0.3">
      <c r="A76" s="22">
        <v>6449</v>
      </c>
      <c r="B76" s="43" t="s">
        <v>190</v>
      </c>
      <c r="C76" s="14">
        <f t="shared" si="57"/>
        <v>1.1610497388781843E-3</v>
      </c>
      <c r="D76" s="15">
        <v>4317</v>
      </c>
      <c r="E76" s="15">
        <f t="shared" ref="E76:L77" si="59">D76</f>
        <v>4317</v>
      </c>
      <c r="F76" s="15">
        <f t="shared" si="59"/>
        <v>4317</v>
      </c>
      <c r="G76" s="15">
        <f t="shared" si="59"/>
        <v>4317</v>
      </c>
      <c r="H76" s="15">
        <f t="shared" si="59"/>
        <v>4317</v>
      </c>
      <c r="I76" s="15">
        <f t="shared" si="59"/>
        <v>4317</v>
      </c>
      <c r="J76" s="15">
        <f t="shared" si="59"/>
        <v>4317</v>
      </c>
      <c r="K76" s="15">
        <f t="shared" si="59"/>
        <v>4317</v>
      </c>
      <c r="L76" s="15">
        <f t="shared" si="59"/>
        <v>4317</v>
      </c>
      <c r="M76" s="15">
        <f>L76</f>
        <v>4317</v>
      </c>
      <c r="N76" s="15">
        <f t="shared" ref="N76:O77" si="60">M76</f>
        <v>4317</v>
      </c>
      <c r="O76" s="15">
        <f t="shared" si="60"/>
        <v>4317</v>
      </c>
      <c r="P76" s="15">
        <f t="shared" si="55"/>
        <v>51804</v>
      </c>
    </row>
    <row r="77" spans="1:17" x14ac:dyDescent="0.3">
      <c r="A77" s="22">
        <v>6450</v>
      </c>
      <c r="B77" s="43" t="s">
        <v>191</v>
      </c>
      <c r="C77" s="14">
        <f t="shared" si="57"/>
        <v>1.1610497388781843E-3</v>
      </c>
      <c r="D77" s="15">
        <v>4317</v>
      </c>
      <c r="E77" s="15">
        <f t="shared" si="59"/>
        <v>4317</v>
      </c>
      <c r="F77" s="15">
        <f t="shared" si="59"/>
        <v>4317</v>
      </c>
      <c r="G77" s="15">
        <f t="shared" si="59"/>
        <v>4317</v>
      </c>
      <c r="H77" s="15">
        <f t="shared" si="59"/>
        <v>4317</v>
      </c>
      <c r="I77" s="15">
        <f t="shared" si="59"/>
        <v>4317</v>
      </c>
      <c r="J77" s="15">
        <f t="shared" si="59"/>
        <v>4317</v>
      </c>
      <c r="K77" s="15">
        <f t="shared" si="59"/>
        <v>4317</v>
      </c>
      <c r="L77" s="15">
        <f t="shared" si="59"/>
        <v>4317</v>
      </c>
      <c r="M77" s="15">
        <f>L77</f>
        <v>4317</v>
      </c>
      <c r="N77" s="15">
        <f t="shared" si="60"/>
        <v>4317</v>
      </c>
      <c r="O77" s="15">
        <f t="shared" si="60"/>
        <v>4317</v>
      </c>
      <c r="P77" s="15">
        <f t="shared" si="55"/>
        <v>51804</v>
      </c>
    </row>
    <row r="78" spans="1:17" x14ac:dyDescent="0.3">
      <c r="A78" s="22">
        <v>6451</v>
      </c>
      <c r="B78" s="43" t="s">
        <v>386</v>
      </c>
      <c r="C78" s="14">
        <f t="shared" si="57"/>
        <v>8.2459543650695224E-4</v>
      </c>
      <c r="D78" s="15">
        <v>3066</v>
      </c>
      <c r="E78" s="15">
        <f t="shared" ref="E78" si="61">D78</f>
        <v>3066</v>
      </c>
      <c r="F78" s="15">
        <f t="shared" ref="F78" si="62">E78</f>
        <v>3066</v>
      </c>
      <c r="G78" s="15">
        <f t="shared" ref="G78" si="63">F78</f>
        <v>3066</v>
      </c>
      <c r="H78" s="15">
        <f t="shared" ref="H78" si="64">G78</f>
        <v>3066</v>
      </c>
      <c r="I78" s="15">
        <f t="shared" ref="I78" si="65">H78</f>
        <v>3066</v>
      </c>
      <c r="J78" s="15">
        <f t="shared" ref="J78" si="66">I78</f>
        <v>3066</v>
      </c>
      <c r="K78" s="15">
        <f t="shared" ref="K78" si="67">J78</f>
        <v>3066</v>
      </c>
      <c r="L78" s="15">
        <f t="shared" ref="L78" si="68">K78</f>
        <v>3066</v>
      </c>
      <c r="M78" s="15">
        <f>L78</f>
        <v>3066</v>
      </c>
      <c r="N78" s="15">
        <f t="shared" ref="N78" si="69">M78</f>
        <v>3066</v>
      </c>
      <c r="O78" s="15">
        <f t="shared" ref="O78" si="70">N78</f>
        <v>3066</v>
      </c>
      <c r="P78" s="15">
        <f t="shared" si="55"/>
        <v>36792</v>
      </c>
    </row>
    <row r="79" spans="1:17" x14ac:dyDescent="0.3">
      <c r="A79" s="23"/>
      <c r="B79" s="20" t="s">
        <v>75</v>
      </c>
      <c r="C79" s="26">
        <f t="shared" si="57"/>
        <v>8.161773552405896E-3</v>
      </c>
      <c r="D79" s="17">
        <f>SUM(D73:D78)</f>
        <v>30347</v>
      </c>
      <c r="E79" s="17">
        <f t="shared" ref="E79:P79" si="71">SUM(E73:E78)</f>
        <v>30347</v>
      </c>
      <c r="F79" s="17">
        <f t="shared" si="71"/>
        <v>30347</v>
      </c>
      <c r="G79" s="17">
        <f t="shared" si="71"/>
        <v>30347</v>
      </c>
      <c r="H79" s="17">
        <f t="shared" si="71"/>
        <v>30347</v>
      </c>
      <c r="I79" s="17">
        <f t="shared" si="71"/>
        <v>30347</v>
      </c>
      <c r="J79" s="17">
        <f t="shared" si="71"/>
        <v>30347</v>
      </c>
      <c r="K79" s="17">
        <f t="shared" si="71"/>
        <v>30347</v>
      </c>
      <c r="L79" s="17">
        <f t="shared" si="71"/>
        <v>30347</v>
      </c>
      <c r="M79" s="17">
        <f t="shared" si="71"/>
        <v>30347</v>
      </c>
      <c r="N79" s="17">
        <f t="shared" si="71"/>
        <v>30347</v>
      </c>
      <c r="O79" s="17">
        <f t="shared" si="71"/>
        <v>30347</v>
      </c>
      <c r="P79" s="17">
        <f t="shared" si="71"/>
        <v>364164</v>
      </c>
    </row>
    <row r="80" spans="1:17" x14ac:dyDescent="0.3">
      <c r="A80" s="23"/>
      <c r="B80" s="23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3">
      <c r="A81" s="23" t="s">
        <v>76</v>
      </c>
      <c r="B81" s="21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3">
      <c r="A82" s="22">
        <v>6510</v>
      </c>
      <c r="B82" s="43" t="s">
        <v>199</v>
      </c>
      <c r="C82" s="14">
        <f t="shared" ref="C82:C88" si="72">P82/$P$7</f>
        <v>5.3789656654073858E-3</v>
      </c>
      <c r="D82" s="15">
        <v>20000</v>
      </c>
      <c r="E82" s="15">
        <f t="shared" ref="E82:O87" si="73">D82</f>
        <v>20000</v>
      </c>
      <c r="F82" s="15">
        <f t="shared" si="73"/>
        <v>20000</v>
      </c>
      <c r="G82" s="15">
        <f t="shared" si="73"/>
        <v>20000</v>
      </c>
      <c r="H82" s="15">
        <f t="shared" si="73"/>
        <v>20000</v>
      </c>
      <c r="I82" s="15">
        <f t="shared" si="73"/>
        <v>20000</v>
      </c>
      <c r="J82" s="15">
        <f t="shared" si="73"/>
        <v>20000</v>
      </c>
      <c r="K82" s="15">
        <f t="shared" si="73"/>
        <v>20000</v>
      </c>
      <c r="L82" s="15">
        <f t="shared" si="73"/>
        <v>20000</v>
      </c>
      <c r="M82" s="15">
        <f t="shared" si="73"/>
        <v>20000</v>
      </c>
      <c r="N82" s="15">
        <f t="shared" si="73"/>
        <v>20000</v>
      </c>
      <c r="O82" s="15">
        <f t="shared" si="73"/>
        <v>20000</v>
      </c>
      <c r="P82" s="15">
        <f t="shared" ref="P82:P87" si="74">SUM(D82:O82)</f>
        <v>240000</v>
      </c>
    </row>
    <row r="83" spans="1:16" x14ac:dyDescent="0.3">
      <c r="A83" s="22">
        <v>6540</v>
      </c>
      <c r="B83" s="43" t="s">
        <v>79</v>
      </c>
      <c r="C83" s="14">
        <f t="shared" si="72"/>
        <v>2.6894828327036927E-4</v>
      </c>
      <c r="D83" s="15">
        <v>1000</v>
      </c>
      <c r="E83" s="15">
        <f t="shared" si="73"/>
        <v>1000</v>
      </c>
      <c r="F83" s="15">
        <f t="shared" si="73"/>
        <v>1000</v>
      </c>
      <c r="G83" s="15">
        <f t="shared" si="73"/>
        <v>1000</v>
      </c>
      <c r="H83" s="15">
        <f t="shared" si="73"/>
        <v>1000</v>
      </c>
      <c r="I83" s="15">
        <f t="shared" si="73"/>
        <v>1000</v>
      </c>
      <c r="J83" s="15">
        <f t="shared" si="73"/>
        <v>1000</v>
      </c>
      <c r="K83" s="15">
        <f t="shared" si="73"/>
        <v>1000</v>
      </c>
      <c r="L83" s="15">
        <f t="shared" si="73"/>
        <v>1000</v>
      </c>
      <c r="M83" s="15">
        <f t="shared" si="73"/>
        <v>1000</v>
      </c>
      <c r="N83" s="15">
        <f t="shared" si="73"/>
        <v>1000</v>
      </c>
      <c r="O83" s="15">
        <f t="shared" si="73"/>
        <v>1000</v>
      </c>
      <c r="P83" s="15">
        <f t="shared" si="74"/>
        <v>12000</v>
      </c>
    </row>
    <row r="84" spans="1:16" x14ac:dyDescent="0.3">
      <c r="A84" s="22">
        <v>6541</v>
      </c>
      <c r="B84" s="43" t="s">
        <v>201</v>
      </c>
      <c r="C84" s="14">
        <f t="shared" si="72"/>
        <v>8.068448498111078E-4</v>
      </c>
      <c r="D84" s="15">
        <v>3000</v>
      </c>
      <c r="E84" s="15">
        <f t="shared" si="73"/>
        <v>3000</v>
      </c>
      <c r="F84" s="15">
        <f t="shared" si="73"/>
        <v>3000</v>
      </c>
      <c r="G84" s="15">
        <f t="shared" si="73"/>
        <v>3000</v>
      </c>
      <c r="H84" s="15">
        <f t="shared" si="73"/>
        <v>3000</v>
      </c>
      <c r="I84" s="15">
        <f t="shared" si="73"/>
        <v>3000</v>
      </c>
      <c r="J84" s="15">
        <f t="shared" si="73"/>
        <v>3000</v>
      </c>
      <c r="K84" s="15">
        <f t="shared" si="73"/>
        <v>3000</v>
      </c>
      <c r="L84" s="15">
        <f t="shared" si="73"/>
        <v>3000</v>
      </c>
      <c r="M84" s="15">
        <f t="shared" si="73"/>
        <v>3000</v>
      </c>
      <c r="N84" s="15">
        <f t="shared" si="73"/>
        <v>3000</v>
      </c>
      <c r="O84" s="15">
        <f t="shared" si="73"/>
        <v>3000</v>
      </c>
      <c r="P84" s="15">
        <f t="shared" si="74"/>
        <v>36000</v>
      </c>
    </row>
    <row r="85" spans="1:16" x14ac:dyDescent="0.3">
      <c r="A85" s="22">
        <v>6553</v>
      </c>
      <c r="B85" s="43" t="s">
        <v>202</v>
      </c>
      <c r="C85" s="14">
        <f t="shared" si="72"/>
        <v>3.2273793992444312E-3</v>
      </c>
      <c r="D85" s="15">
        <v>12000</v>
      </c>
      <c r="E85" s="15">
        <f t="shared" si="73"/>
        <v>12000</v>
      </c>
      <c r="F85" s="15">
        <f t="shared" si="73"/>
        <v>12000</v>
      </c>
      <c r="G85" s="15">
        <f t="shared" si="73"/>
        <v>12000</v>
      </c>
      <c r="H85" s="15">
        <f t="shared" si="73"/>
        <v>12000</v>
      </c>
      <c r="I85" s="15">
        <f t="shared" si="73"/>
        <v>12000</v>
      </c>
      <c r="J85" s="15">
        <f t="shared" si="73"/>
        <v>12000</v>
      </c>
      <c r="K85" s="15">
        <f t="shared" si="73"/>
        <v>12000</v>
      </c>
      <c r="L85" s="15">
        <f t="shared" si="73"/>
        <v>12000</v>
      </c>
      <c r="M85" s="15">
        <f t="shared" si="73"/>
        <v>12000</v>
      </c>
      <c r="N85" s="15">
        <f t="shared" si="73"/>
        <v>12000</v>
      </c>
      <c r="O85" s="15">
        <f t="shared" si="73"/>
        <v>12000</v>
      </c>
      <c r="P85" s="15">
        <f t="shared" si="74"/>
        <v>144000</v>
      </c>
    </row>
    <row r="86" spans="1:16" x14ac:dyDescent="0.3">
      <c r="A86" s="22">
        <v>6570</v>
      </c>
      <c r="B86" s="43" t="s">
        <v>78</v>
      </c>
      <c r="C86" s="14">
        <f t="shared" si="72"/>
        <v>4.3031725323259083E-3</v>
      </c>
      <c r="D86" s="15">
        <v>16000</v>
      </c>
      <c r="E86" s="15">
        <f t="shared" si="73"/>
        <v>16000</v>
      </c>
      <c r="F86" s="15">
        <f t="shared" si="73"/>
        <v>16000</v>
      </c>
      <c r="G86" s="15">
        <f t="shared" si="73"/>
        <v>16000</v>
      </c>
      <c r="H86" s="15">
        <f t="shared" si="73"/>
        <v>16000</v>
      </c>
      <c r="I86" s="15">
        <f t="shared" si="73"/>
        <v>16000</v>
      </c>
      <c r="J86" s="15">
        <f t="shared" si="73"/>
        <v>16000</v>
      </c>
      <c r="K86" s="15">
        <f t="shared" si="73"/>
        <v>16000</v>
      </c>
      <c r="L86" s="15">
        <f t="shared" si="73"/>
        <v>16000</v>
      </c>
      <c r="M86" s="15">
        <f t="shared" si="73"/>
        <v>16000</v>
      </c>
      <c r="N86" s="15">
        <f t="shared" si="73"/>
        <v>16000</v>
      </c>
      <c r="O86" s="15">
        <f t="shared" si="73"/>
        <v>16000</v>
      </c>
      <c r="P86" s="15">
        <f t="shared" si="74"/>
        <v>192000</v>
      </c>
    </row>
    <row r="87" spans="1:16" x14ac:dyDescent="0.3">
      <c r="A87" s="22">
        <v>6590</v>
      </c>
      <c r="B87" s="43" t="s">
        <v>154</v>
      </c>
      <c r="C87" s="14">
        <f>P87/$P$7</f>
        <v>2.6894828327036927E-4</v>
      </c>
      <c r="D87" s="15">
        <v>1000</v>
      </c>
      <c r="E87" s="15">
        <f t="shared" si="73"/>
        <v>1000</v>
      </c>
      <c r="F87" s="15">
        <f t="shared" si="73"/>
        <v>1000</v>
      </c>
      <c r="G87" s="15">
        <f t="shared" si="73"/>
        <v>1000</v>
      </c>
      <c r="H87" s="15">
        <f t="shared" si="73"/>
        <v>1000</v>
      </c>
      <c r="I87" s="15">
        <f t="shared" si="73"/>
        <v>1000</v>
      </c>
      <c r="J87" s="15">
        <f t="shared" si="73"/>
        <v>1000</v>
      </c>
      <c r="K87" s="15">
        <f t="shared" si="73"/>
        <v>1000</v>
      </c>
      <c r="L87" s="15">
        <f t="shared" si="73"/>
        <v>1000</v>
      </c>
      <c r="M87" s="15">
        <f t="shared" si="73"/>
        <v>1000</v>
      </c>
      <c r="N87" s="15">
        <f t="shared" si="73"/>
        <v>1000</v>
      </c>
      <c r="O87" s="15">
        <f t="shared" si="73"/>
        <v>1000</v>
      </c>
      <c r="P87" s="15">
        <f t="shared" si="74"/>
        <v>12000</v>
      </c>
    </row>
    <row r="88" spans="1:16" x14ac:dyDescent="0.3">
      <c r="A88" s="23"/>
      <c r="B88" s="20" t="s">
        <v>77</v>
      </c>
      <c r="C88" s="26">
        <f t="shared" si="72"/>
        <v>1.4254259013329572E-2</v>
      </c>
      <c r="D88" s="17">
        <f t="shared" ref="D88:P88" si="75">SUM(D82:D87)</f>
        <v>53000</v>
      </c>
      <c r="E88" s="17">
        <f t="shared" si="75"/>
        <v>53000</v>
      </c>
      <c r="F88" s="17">
        <f t="shared" si="75"/>
        <v>53000</v>
      </c>
      <c r="G88" s="17">
        <f t="shared" si="75"/>
        <v>53000</v>
      </c>
      <c r="H88" s="17">
        <f t="shared" si="75"/>
        <v>53000</v>
      </c>
      <c r="I88" s="17">
        <f t="shared" si="75"/>
        <v>53000</v>
      </c>
      <c r="J88" s="17">
        <f t="shared" si="75"/>
        <v>53000</v>
      </c>
      <c r="K88" s="17">
        <f t="shared" si="75"/>
        <v>53000</v>
      </c>
      <c r="L88" s="17">
        <f t="shared" si="75"/>
        <v>53000</v>
      </c>
      <c r="M88" s="17">
        <f t="shared" si="75"/>
        <v>53000</v>
      </c>
      <c r="N88" s="17">
        <f t="shared" si="75"/>
        <v>53000</v>
      </c>
      <c r="O88" s="17">
        <f t="shared" si="75"/>
        <v>53000</v>
      </c>
      <c r="P88" s="17">
        <f t="shared" si="75"/>
        <v>636000</v>
      </c>
    </row>
    <row r="89" spans="1:16" x14ac:dyDescent="0.3">
      <c r="A89" s="23"/>
      <c r="B89" s="23"/>
      <c r="C89" s="14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3">
      <c r="A90" s="23" t="s">
        <v>80</v>
      </c>
      <c r="B90" s="21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3">
      <c r="A91" s="22">
        <v>6620</v>
      </c>
      <c r="B91" s="43" t="s">
        <v>13</v>
      </c>
      <c r="C91" s="14">
        <f>P91/$P$7</f>
        <v>6.7237070817592322E-4</v>
      </c>
      <c r="D91" s="15">
        <v>2500</v>
      </c>
      <c r="E91" s="15">
        <f>D91</f>
        <v>2500</v>
      </c>
      <c r="F91" s="15">
        <f t="shared" ref="F91:O91" si="76">E91</f>
        <v>2500</v>
      </c>
      <c r="G91" s="15">
        <f t="shared" si="76"/>
        <v>2500</v>
      </c>
      <c r="H91" s="15">
        <f t="shared" si="76"/>
        <v>2500</v>
      </c>
      <c r="I91" s="15">
        <f t="shared" si="76"/>
        <v>2500</v>
      </c>
      <c r="J91" s="15">
        <f t="shared" si="76"/>
        <v>2500</v>
      </c>
      <c r="K91" s="15">
        <f t="shared" si="76"/>
        <v>2500</v>
      </c>
      <c r="L91" s="15">
        <f t="shared" si="76"/>
        <v>2500</v>
      </c>
      <c r="M91" s="15">
        <f t="shared" si="76"/>
        <v>2500</v>
      </c>
      <c r="N91" s="15">
        <f t="shared" si="76"/>
        <v>2500</v>
      </c>
      <c r="O91" s="15">
        <f t="shared" si="76"/>
        <v>2500</v>
      </c>
      <c r="P91" s="15">
        <f>SUM(D91:O91)</f>
        <v>30000</v>
      </c>
    </row>
    <row r="92" spans="1:16" x14ac:dyDescent="0.3">
      <c r="A92" s="23"/>
      <c r="B92" s="20" t="s">
        <v>81</v>
      </c>
      <c r="C92" s="26">
        <f>P92/$P$7</f>
        <v>6.7237070817592322E-4</v>
      </c>
      <c r="D92" s="17">
        <f>SUM(D91)</f>
        <v>2500</v>
      </c>
      <c r="E92" s="17">
        <f t="shared" ref="E92:P92" si="77">SUM(E91)</f>
        <v>2500</v>
      </c>
      <c r="F92" s="17">
        <f t="shared" si="77"/>
        <v>2500</v>
      </c>
      <c r="G92" s="17">
        <f t="shared" si="77"/>
        <v>2500</v>
      </c>
      <c r="H92" s="17">
        <f t="shared" si="77"/>
        <v>2500</v>
      </c>
      <c r="I92" s="17">
        <f t="shared" si="77"/>
        <v>2500</v>
      </c>
      <c r="J92" s="17">
        <f t="shared" si="77"/>
        <v>2500</v>
      </c>
      <c r="K92" s="17">
        <f t="shared" si="77"/>
        <v>2500</v>
      </c>
      <c r="L92" s="17">
        <f t="shared" si="77"/>
        <v>2500</v>
      </c>
      <c r="M92" s="17">
        <f t="shared" si="77"/>
        <v>2500</v>
      </c>
      <c r="N92" s="17">
        <f t="shared" si="77"/>
        <v>2500</v>
      </c>
      <c r="O92" s="17">
        <f t="shared" si="77"/>
        <v>2500</v>
      </c>
      <c r="P92" s="17">
        <f t="shared" si="77"/>
        <v>30000</v>
      </c>
    </row>
    <row r="93" spans="1:16" x14ac:dyDescent="0.3">
      <c r="A93" s="23"/>
      <c r="B93" s="23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16" x14ac:dyDescent="0.3">
      <c r="A94" s="23" t="s">
        <v>83</v>
      </c>
      <c r="B94" s="23"/>
      <c r="C94" s="14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1:16" x14ac:dyDescent="0.3">
      <c r="A95" s="22">
        <v>6700</v>
      </c>
      <c r="B95" s="21" t="s">
        <v>14</v>
      </c>
      <c r="C95" s="14">
        <f>P95/$P$7</f>
        <v>1.2102672747166619E-3</v>
      </c>
      <c r="D95" s="15">
        <v>4500</v>
      </c>
      <c r="E95" s="15">
        <f>D95</f>
        <v>4500</v>
      </c>
      <c r="F95" s="15">
        <f t="shared" ref="F95:O98" si="78">E95</f>
        <v>4500</v>
      </c>
      <c r="G95" s="15">
        <f t="shared" si="78"/>
        <v>4500</v>
      </c>
      <c r="H95" s="15">
        <f t="shared" si="78"/>
        <v>4500</v>
      </c>
      <c r="I95" s="15">
        <f t="shared" si="78"/>
        <v>4500</v>
      </c>
      <c r="J95" s="15">
        <f t="shared" si="78"/>
        <v>4500</v>
      </c>
      <c r="K95" s="15">
        <f t="shared" si="78"/>
        <v>4500</v>
      </c>
      <c r="L95" s="15">
        <f t="shared" si="78"/>
        <v>4500</v>
      </c>
      <c r="M95" s="15">
        <f t="shared" si="78"/>
        <v>4500</v>
      </c>
      <c r="N95" s="15">
        <f t="shared" si="78"/>
        <v>4500</v>
      </c>
      <c r="O95" s="15">
        <f t="shared" si="78"/>
        <v>4500</v>
      </c>
      <c r="P95" s="15">
        <f>SUM(D95:O95)</f>
        <v>54000</v>
      </c>
    </row>
    <row r="96" spans="1:16" x14ac:dyDescent="0.3">
      <c r="A96" s="22">
        <v>6705</v>
      </c>
      <c r="B96" s="21" t="s">
        <v>15</v>
      </c>
      <c r="C96" s="14">
        <f>P96/$P$7</f>
        <v>5.3789656654073858E-3</v>
      </c>
      <c r="D96" s="15">
        <v>20000</v>
      </c>
      <c r="E96" s="15">
        <f>D96</f>
        <v>20000</v>
      </c>
      <c r="F96" s="15">
        <f t="shared" si="78"/>
        <v>20000</v>
      </c>
      <c r="G96" s="15">
        <f t="shared" si="78"/>
        <v>20000</v>
      </c>
      <c r="H96" s="15">
        <f t="shared" si="78"/>
        <v>20000</v>
      </c>
      <c r="I96" s="15">
        <f t="shared" si="78"/>
        <v>20000</v>
      </c>
      <c r="J96" s="15">
        <f t="shared" si="78"/>
        <v>20000</v>
      </c>
      <c r="K96" s="15">
        <f t="shared" si="78"/>
        <v>20000</v>
      </c>
      <c r="L96" s="15">
        <f t="shared" si="78"/>
        <v>20000</v>
      </c>
      <c r="M96" s="15">
        <f t="shared" si="78"/>
        <v>20000</v>
      </c>
      <c r="N96" s="15">
        <f t="shared" si="78"/>
        <v>20000</v>
      </c>
      <c r="O96" s="15">
        <f t="shared" si="78"/>
        <v>20000</v>
      </c>
      <c r="P96" s="15">
        <f>SUM(D96:O96)</f>
        <v>240000</v>
      </c>
    </row>
    <row r="97" spans="1:255" s="13" customFormat="1" x14ac:dyDescent="0.3">
      <c r="A97" s="22">
        <v>6721</v>
      </c>
      <c r="B97" s="43" t="s">
        <v>214</v>
      </c>
      <c r="C97" s="14">
        <f>P97/$P$7</f>
        <v>2.3936397211062867E-2</v>
      </c>
      <c r="D97" s="15">
        <f>73000+16000</f>
        <v>89000</v>
      </c>
      <c r="E97" s="15">
        <f>D97</f>
        <v>89000</v>
      </c>
      <c r="F97" s="15">
        <f t="shared" si="78"/>
        <v>89000</v>
      </c>
      <c r="G97" s="15">
        <f t="shared" si="78"/>
        <v>89000</v>
      </c>
      <c r="H97" s="15">
        <f t="shared" si="78"/>
        <v>89000</v>
      </c>
      <c r="I97" s="15">
        <f t="shared" si="78"/>
        <v>89000</v>
      </c>
      <c r="J97" s="15">
        <f t="shared" si="78"/>
        <v>89000</v>
      </c>
      <c r="K97" s="15">
        <f t="shared" si="78"/>
        <v>89000</v>
      </c>
      <c r="L97" s="15">
        <f t="shared" si="78"/>
        <v>89000</v>
      </c>
      <c r="M97" s="15">
        <f t="shared" si="78"/>
        <v>89000</v>
      </c>
      <c r="N97" s="15">
        <f t="shared" si="78"/>
        <v>89000</v>
      </c>
      <c r="O97" s="15">
        <f t="shared" si="78"/>
        <v>89000</v>
      </c>
      <c r="P97" s="15">
        <f>SUM(D97:O97)</f>
        <v>1068000</v>
      </c>
      <c r="Q97" s="84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</row>
    <row r="98" spans="1:255" s="13" customFormat="1" x14ac:dyDescent="0.3">
      <c r="A98" s="22">
        <v>6725</v>
      </c>
      <c r="B98" s="43" t="s">
        <v>82</v>
      </c>
      <c r="C98" s="14">
        <f>P98/$P$7</f>
        <v>2.6894828327036927E-4</v>
      </c>
      <c r="D98" s="15">
        <v>1000</v>
      </c>
      <c r="E98" s="15">
        <f>D98</f>
        <v>1000</v>
      </c>
      <c r="F98" s="15">
        <f t="shared" si="78"/>
        <v>1000</v>
      </c>
      <c r="G98" s="15">
        <f t="shared" si="78"/>
        <v>1000</v>
      </c>
      <c r="H98" s="15">
        <f t="shared" si="78"/>
        <v>1000</v>
      </c>
      <c r="I98" s="15">
        <f t="shared" si="78"/>
        <v>1000</v>
      </c>
      <c r="J98" s="15">
        <f t="shared" si="78"/>
        <v>1000</v>
      </c>
      <c r="K98" s="15">
        <f t="shared" si="78"/>
        <v>1000</v>
      </c>
      <c r="L98" s="15">
        <f t="shared" si="78"/>
        <v>1000</v>
      </c>
      <c r="M98" s="15">
        <f t="shared" si="78"/>
        <v>1000</v>
      </c>
      <c r="N98" s="15">
        <f t="shared" si="78"/>
        <v>1000</v>
      </c>
      <c r="O98" s="15">
        <f t="shared" si="78"/>
        <v>1000</v>
      </c>
      <c r="P98" s="15">
        <f>SUM(D98:O98)</f>
        <v>12000</v>
      </c>
      <c r="Q98" s="84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</row>
    <row r="99" spans="1:255" x14ac:dyDescent="0.3">
      <c r="A99" s="23"/>
      <c r="B99" s="20" t="s">
        <v>84</v>
      </c>
      <c r="C99" s="26">
        <f>P99/$P$7</f>
        <v>3.0794578434457282E-2</v>
      </c>
      <c r="D99" s="17">
        <f>SUM(D95:D98)</f>
        <v>114500</v>
      </c>
      <c r="E99" s="17">
        <f t="shared" ref="E99:P99" si="79">SUM(E95:E98)</f>
        <v>114500</v>
      </c>
      <c r="F99" s="17">
        <f t="shared" si="79"/>
        <v>114500</v>
      </c>
      <c r="G99" s="17">
        <f t="shared" si="79"/>
        <v>114500</v>
      </c>
      <c r="H99" s="17">
        <f t="shared" si="79"/>
        <v>114500</v>
      </c>
      <c r="I99" s="17">
        <f t="shared" si="79"/>
        <v>114500</v>
      </c>
      <c r="J99" s="17">
        <f t="shared" si="79"/>
        <v>114500</v>
      </c>
      <c r="K99" s="17">
        <f t="shared" si="79"/>
        <v>114500</v>
      </c>
      <c r="L99" s="17">
        <f t="shared" si="79"/>
        <v>114500</v>
      </c>
      <c r="M99" s="17">
        <f t="shared" si="79"/>
        <v>114500</v>
      </c>
      <c r="N99" s="17">
        <f t="shared" si="79"/>
        <v>114500</v>
      </c>
      <c r="O99" s="17">
        <f t="shared" si="79"/>
        <v>114500</v>
      </c>
      <c r="P99" s="17">
        <f t="shared" si="79"/>
        <v>1374000</v>
      </c>
    </row>
    <row r="100" spans="1:255" x14ac:dyDescent="0.3">
      <c r="A100" s="23"/>
      <c r="B100" s="23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1:255" s="13" customFormat="1" x14ac:dyDescent="0.3">
      <c r="A101" s="23" t="s">
        <v>85</v>
      </c>
      <c r="B101" s="43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84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</row>
    <row r="102" spans="1:255" x14ac:dyDescent="0.3">
      <c r="A102" s="22">
        <v>6800</v>
      </c>
      <c r="B102" s="43" t="s">
        <v>87</v>
      </c>
      <c r="C102" s="14">
        <f t="shared" ref="C102:C107" si="80">P102/$P$7</f>
        <v>2.6894828327036927E-4</v>
      </c>
      <c r="D102" s="15">
        <v>1000</v>
      </c>
      <c r="E102" s="15">
        <f>D102</f>
        <v>1000</v>
      </c>
      <c r="F102" s="15">
        <f t="shared" ref="F102:O106" si="81">E102</f>
        <v>1000</v>
      </c>
      <c r="G102" s="15">
        <f t="shared" si="81"/>
        <v>1000</v>
      </c>
      <c r="H102" s="15">
        <f t="shared" si="81"/>
        <v>1000</v>
      </c>
      <c r="I102" s="15">
        <f t="shared" si="81"/>
        <v>1000</v>
      </c>
      <c r="J102" s="15">
        <f t="shared" si="81"/>
        <v>1000</v>
      </c>
      <c r="K102" s="15">
        <f t="shared" si="81"/>
        <v>1000</v>
      </c>
      <c r="L102" s="15">
        <f t="shared" si="81"/>
        <v>1000</v>
      </c>
      <c r="M102" s="15">
        <f t="shared" si="81"/>
        <v>1000</v>
      </c>
      <c r="N102" s="15">
        <f t="shared" si="81"/>
        <v>1000</v>
      </c>
      <c r="O102" s="15">
        <f t="shared" si="81"/>
        <v>1000</v>
      </c>
      <c r="P102" s="15">
        <f>SUM(D102:O102)</f>
        <v>12000</v>
      </c>
    </row>
    <row r="103" spans="1:255" x14ac:dyDescent="0.3">
      <c r="A103" s="22">
        <v>6890</v>
      </c>
      <c r="B103" s="43" t="s">
        <v>89</v>
      </c>
      <c r="C103" s="14">
        <f t="shared" si="80"/>
        <v>2.6894828327036927E-4</v>
      </c>
      <c r="D103" s="15">
        <v>1000</v>
      </c>
      <c r="E103" s="15">
        <f>D103</f>
        <v>1000</v>
      </c>
      <c r="F103" s="15">
        <f t="shared" si="81"/>
        <v>1000</v>
      </c>
      <c r="G103" s="15">
        <f t="shared" si="81"/>
        <v>1000</v>
      </c>
      <c r="H103" s="15">
        <f t="shared" si="81"/>
        <v>1000</v>
      </c>
      <c r="I103" s="15">
        <f t="shared" si="81"/>
        <v>1000</v>
      </c>
      <c r="J103" s="15">
        <f t="shared" si="81"/>
        <v>1000</v>
      </c>
      <c r="K103" s="15">
        <f t="shared" si="81"/>
        <v>1000</v>
      </c>
      <c r="L103" s="15">
        <f t="shared" si="81"/>
        <v>1000</v>
      </c>
      <c r="M103" s="15">
        <f t="shared" si="81"/>
        <v>1000</v>
      </c>
      <c r="N103" s="15">
        <f t="shared" si="81"/>
        <v>1000</v>
      </c>
      <c r="O103" s="15">
        <f t="shared" si="81"/>
        <v>1000</v>
      </c>
      <c r="P103" s="15">
        <f>SUM(D103:O103)</f>
        <v>12000</v>
      </c>
    </row>
    <row r="104" spans="1:255" x14ac:dyDescent="0.3">
      <c r="A104" s="22">
        <v>6900</v>
      </c>
      <c r="B104" s="43" t="s">
        <v>204</v>
      </c>
      <c r="C104" s="14">
        <f t="shared" si="80"/>
        <v>2.6894828327036927E-4</v>
      </c>
      <c r="D104" s="15">
        <v>1000</v>
      </c>
      <c r="E104" s="15">
        <f>D104</f>
        <v>1000</v>
      </c>
      <c r="F104" s="15">
        <f t="shared" si="81"/>
        <v>1000</v>
      </c>
      <c r="G104" s="15">
        <f t="shared" si="81"/>
        <v>1000</v>
      </c>
      <c r="H104" s="15">
        <f t="shared" si="81"/>
        <v>1000</v>
      </c>
      <c r="I104" s="15">
        <f t="shared" si="81"/>
        <v>1000</v>
      </c>
      <c r="J104" s="15">
        <f t="shared" si="81"/>
        <v>1000</v>
      </c>
      <c r="K104" s="15">
        <f t="shared" si="81"/>
        <v>1000</v>
      </c>
      <c r="L104" s="15">
        <f t="shared" si="81"/>
        <v>1000</v>
      </c>
      <c r="M104" s="15">
        <f t="shared" si="81"/>
        <v>1000</v>
      </c>
      <c r="N104" s="15">
        <f t="shared" si="81"/>
        <v>1000</v>
      </c>
      <c r="O104" s="15">
        <f t="shared" si="81"/>
        <v>1000</v>
      </c>
      <c r="P104" s="15">
        <f>SUM(D104:O104)</f>
        <v>12000</v>
      </c>
    </row>
    <row r="105" spans="1:255" x14ac:dyDescent="0.3">
      <c r="A105" s="22">
        <v>6903</v>
      </c>
      <c r="B105" s="43" t="s">
        <v>203</v>
      </c>
      <c r="C105" s="14">
        <f t="shared" si="80"/>
        <v>6.7237070817592322E-4</v>
      </c>
      <c r="D105" s="15">
        <v>2500</v>
      </c>
      <c r="E105" s="15">
        <f>D105</f>
        <v>2500</v>
      </c>
      <c r="F105" s="15">
        <f t="shared" si="81"/>
        <v>2500</v>
      </c>
      <c r="G105" s="15">
        <f t="shared" si="81"/>
        <v>2500</v>
      </c>
      <c r="H105" s="15">
        <f t="shared" si="81"/>
        <v>2500</v>
      </c>
      <c r="I105" s="15">
        <f t="shared" si="81"/>
        <v>2500</v>
      </c>
      <c r="J105" s="15">
        <f t="shared" si="81"/>
        <v>2500</v>
      </c>
      <c r="K105" s="15">
        <f t="shared" si="81"/>
        <v>2500</v>
      </c>
      <c r="L105" s="15">
        <f t="shared" si="81"/>
        <v>2500</v>
      </c>
      <c r="M105" s="15">
        <f t="shared" si="81"/>
        <v>2500</v>
      </c>
      <c r="N105" s="15">
        <f t="shared" si="81"/>
        <v>2500</v>
      </c>
      <c r="O105" s="15">
        <f t="shared" si="81"/>
        <v>2500</v>
      </c>
      <c r="P105" s="15">
        <f>SUM(D105:O105)</f>
        <v>30000</v>
      </c>
    </row>
    <row r="106" spans="1:255" hidden="1" x14ac:dyDescent="0.3">
      <c r="A106" s="22">
        <v>6940</v>
      </c>
      <c r="B106" s="43" t="s">
        <v>88</v>
      </c>
      <c r="C106" s="14">
        <f t="shared" si="80"/>
        <v>0</v>
      </c>
      <c r="D106" s="15">
        <v>0</v>
      </c>
      <c r="E106" s="15">
        <f>D106</f>
        <v>0</v>
      </c>
      <c r="F106" s="15">
        <f t="shared" si="81"/>
        <v>0</v>
      </c>
      <c r="G106" s="15">
        <f t="shared" si="81"/>
        <v>0</v>
      </c>
      <c r="H106" s="15">
        <f t="shared" si="81"/>
        <v>0</v>
      </c>
      <c r="I106" s="15">
        <f t="shared" si="81"/>
        <v>0</v>
      </c>
      <c r="J106" s="15">
        <f t="shared" si="81"/>
        <v>0</v>
      </c>
      <c r="K106" s="15">
        <f t="shared" si="81"/>
        <v>0</v>
      </c>
      <c r="L106" s="15">
        <f t="shared" si="81"/>
        <v>0</v>
      </c>
      <c r="M106" s="15">
        <f t="shared" si="81"/>
        <v>0</v>
      </c>
      <c r="N106" s="15">
        <f t="shared" si="81"/>
        <v>0</v>
      </c>
      <c r="O106" s="15">
        <f t="shared" si="81"/>
        <v>0</v>
      </c>
      <c r="P106" s="15">
        <f>SUM(D106:O106)</f>
        <v>0</v>
      </c>
    </row>
    <row r="107" spans="1:255" x14ac:dyDescent="0.3">
      <c r="A107" s="23"/>
      <c r="B107" s="20" t="s">
        <v>86</v>
      </c>
      <c r="C107" s="26">
        <f t="shared" si="80"/>
        <v>1.479215557987031E-3</v>
      </c>
      <c r="D107" s="17">
        <f t="shared" ref="D107:P107" si="82">SUM(D102:D106)</f>
        <v>5500</v>
      </c>
      <c r="E107" s="17">
        <f t="shared" si="82"/>
        <v>5500</v>
      </c>
      <c r="F107" s="17">
        <f t="shared" si="82"/>
        <v>5500</v>
      </c>
      <c r="G107" s="17">
        <f t="shared" si="82"/>
        <v>5500</v>
      </c>
      <c r="H107" s="17">
        <f t="shared" si="82"/>
        <v>5500</v>
      </c>
      <c r="I107" s="17">
        <f t="shared" si="82"/>
        <v>5500</v>
      </c>
      <c r="J107" s="17">
        <f t="shared" si="82"/>
        <v>5500</v>
      </c>
      <c r="K107" s="17">
        <f t="shared" si="82"/>
        <v>5500</v>
      </c>
      <c r="L107" s="17">
        <f t="shared" si="82"/>
        <v>5500</v>
      </c>
      <c r="M107" s="17">
        <f t="shared" si="82"/>
        <v>5500</v>
      </c>
      <c r="N107" s="17">
        <f t="shared" si="82"/>
        <v>5500</v>
      </c>
      <c r="O107" s="17">
        <f t="shared" si="82"/>
        <v>5500</v>
      </c>
      <c r="P107" s="17">
        <f t="shared" si="82"/>
        <v>66000</v>
      </c>
    </row>
    <row r="108" spans="1:255" x14ac:dyDescent="0.3">
      <c r="A108" s="23"/>
      <c r="B108" s="23"/>
      <c r="C108" s="14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</row>
    <row r="109" spans="1:255" x14ac:dyDescent="0.3">
      <c r="A109" s="23" t="s">
        <v>90</v>
      </c>
      <c r="B109" s="21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255" x14ac:dyDescent="0.3">
      <c r="A110" s="22">
        <v>7000</v>
      </c>
      <c r="B110" s="21" t="s">
        <v>47</v>
      </c>
      <c r="C110" s="14">
        <f>P110/$P$7</f>
        <v>2.1515862661629541E-3</v>
      </c>
      <c r="D110" s="15">
        <v>8000</v>
      </c>
      <c r="E110" s="15">
        <f>D110</f>
        <v>8000</v>
      </c>
      <c r="F110" s="15">
        <f t="shared" ref="F110:O113" si="83">E110</f>
        <v>8000</v>
      </c>
      <c r="G110" s="15">
        <f t="shared" si="83"/>
        <v>8000</v>
      </c>
      <c r="H110" s="15">
        <f t="shared" si="83"/>
        <v>8000</v>
      </c>
      <c r="I110" s="15">
        <f t="shared" si="83"/>
        <v>8000</v>
      </c>
      <c r="J110" s="15">
        <f t="shared" si="83"/>
        <v>8000</v>
      </c>
      <c r="K110" s="15">
        <f t="shared" si="83"/>
        <v>8000</v>
      </c>
      <c r="L110" s="15">
        <f t="shared" si="83"/>
        <v>8000</v>
      </c>
      <c r="M110" s="15">
        <f t="shared" si="83"/>
        <v>8000</v>
      </c>
      <c r="N110" s="15">
        <f t="shared" si="83"/>
        <v>8000</v>
      </c>
      <c r="O110" s="15">
        <f t="shared" si="83"/>
        <v>8000</v>
      </c>
      <c r="P110" s="15">
        <f>SUM(D110:O110)</f>
        <v>96000</v>
      </c>
    </row>
    <row r="111" spans="1:255" x14ac:dyDescent="0.3">
      <c r="A111" s="22">
        <v>7020</v>
      </c>
      <c r="B111" s="21" t="s">
        <v>48</v>
      </c>
      <c r="C111" s="14">
        <f>P111/$P$7</f>
        <v>2.1515862661629541E-3</v>
      </c>
      <c r="D111" s="15">
        <v>8000</v>
      </c>
      <c r="E111" s="15">
        <f>D111</f>
        <v>8000</v>
      </c>
      <c r="F111" s="15">
        <f t="shared" si="83"/>
        <v>8000</v>
      </c>
      <c r="G111" s="15">
        <f t="shared" si="83"/>
        <v>8000</v>
      </c>
      <c r="H111" s="15">
        <f t="shared" si="83"/>
        <v>8000</v>
      </c>
      <c r="I111" s="15">
        <f t="shared" si="83"/>
        <v>8000</v>
      </c>
      <c r="J111" s="15">
        <f t="shared" si="83"/>
        <v>8000</v>
      </c>
      <c r="K111" s="15">
        <f t="shared" si="83"/>
        <v>8000</v>
      </c>
      <c r="L111" s="15">
        <f t="shared" si="83"/>
        <v>8000</v>
      </c>
      <c r="M111" s="15">
        <f t="shared" si="83"/>
        <v>8000</v>
      </c>
      <c r="N111" s="15">
        <f t="shared" si="83"/>
        <v>8000</v>
      </c>
      <c r="O111" s="15">
        <f t="shared" si="83"/>
        <v>8000</v>
      </c>
      <c r="P111" s="15">
        <f>SUM(D111:O111)</f>
        <v>96000</v>
      </c>
    </row>
    <row r="112" spans="1:255" s="7" customFormat="1" x14ac:dyDescent="0.3">
      <c r="A112" s="22">
        <v>7040</v>
      </c>
      <c r="B112" s="21" t="s">
        <v>49</v>
      </c>
      <c r="C112" s="14">
        <f>P112/$P$7</f>
        <v>0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f>SUM(D112:O112)</f>
        <v>0</v>
      </c>
      <c r="Q112" s="84"/>
    </row>
    <row r="113" spans="1:17" s="7" customFormat="1" x14ac:dyDescent="0.3">
      <c r="A113" s="22">
        <v>7090</v>
      </c>
      <c r="B113" s="43" t="s">
        <v>92</v>
      </c>
      <c r="C113" s="14">
        <f>P113/$P$7</f>
        <v>1.882637982892585E-3</v>
      </c>
      <c r="D113" s="15">
        <v>7000</v>
      </c>
      <c r="E113" s="15">
        <f>D113</f>
        <v>7000</v>
      </c>
      <c r="F113" s="15">
        <f t="shared" si="83"/>
        <v>7000</v>
      </c>
      <c r="G113" s="15">
        <f t="shared" si="83"/>
        <v>7000</v>
      </c>
      <c r="H113" s="15">
        <f t="shared" si="83"/>
        <v>7000</v>
      </c>
      <c r="I113" s="15">
        <f t="shared" si="83"/>
        <v>7000</v>
      </c>
      <c r="J113" s="15">
        <f t="shared" si="83"/>
        <v>7000</v>
      </c>
      <c r="K113" s="15">
        <f t="shared" si="83"/>
        <v>7000</v>
      </c>
      <c r="L113" s="15">
        <f t="shared" si="83"/>
        <v>7000</v>
      </c>
      <c r="M113" s="15">
        <f t="shared" si="83"/>
        <v>7000</v>
      </c>
      <c r="N113" s="15">
        <f t="shared" si="83"/>
        <v>7000</v>
      </c>
      <c r="O113" s="15">
        <f t="shared" si="83"/>
        <v>7000</v>
      </c>
      <c r="P113" s="15">
        <f>SUM(D113:O113)</f>
        <v>84000</v>
      </c>
      <c r="Q113" s="84"/>
    </row>
    <row r="114" spans="1:17" s="7" customFormat="1" x14ac:dyDescent="0.3">
      <c r="A114" s="23"/>
      <c r="B114" s="20" t="s">
        <v>91</v>
      </c>
      <c r="C114" s="26">
        <f>P114/$P$7</f>
        <v>6.1858105152184937E-3</v>
      </c>
      <c r="D114" s="17">
        <f>SUM(D110:D113)</f>
        <v>23000</v>
      </c>
      <c r="E114" s="17">
        <f t="shared" ref="E114:P114" si="84">SUM(E110:E113)</f>
        <v>23000</v>
      </c>
      <c r="F114" s="17">
        <f t="shared" si="84"/>
        <v>23000</v>
      </c>
      <c r="G114" s="17">
        <f t="shared" si="84"/>
        <v>23000</v>
      </c>
      <c r="H114" s="17">
        <f t="shared" si="84"/>
        <v>23000</v>
      </c>
      <c r="I114" s="17">
        <f t="shared" si="84"/>
        <v>23000</v>
      </c>
      <c r="J114" s="17">
        <f t="shared" si="84"/>
        <v>23000</v>
      </c>
      <c r="K114" s="17">
        <f t="shared" si="84"/>
        <v>23000</v>
      </c>
      <c r="L114" s="17">
        <f t="shared" si="84"/>
        <v>23000</v>
      </c>
      <c r="M114" s="17">
        <f t="shared" si="84"/>
        <v>23000</v>
      </c>
      <c r="N114" s="17">
        <f t="shared" si="84"/>
        <v>23000</v>
      </c>
      <c r="O114" s="17">
        <f t="shared" si="84"/>
        <v>23000</v>
      </c>
      <c r="P114" s="17">
        <f t="shared" si="84"/>
        <v>276000</v>
      </c>
      <c r="Q114" s="84"/>
    </row>
    <row r="115" spans="1:17" s="7" customFormat="1" x14ac:dyDescent="0.3">
      <c r="A115" s="23"/>
      <c r="B115" s="23"/>
      <c r="C115" s="14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84"/>
    </row>
    <row r="116" spans="1:17" x14ac:dyDescent="0.3">
      <c r="A116" s="23" t="s">
        <v>129</v>
      </c>
      <c r="B116" s="21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7" x14ac:dyDescent="0.3">
      <c r="A117" s="22">
        <v>7100</v>
      </c>
      <c r="B117" s="43" t="s">
        <v>94</v>
      </c>
      <c r="C117" s="14">
        <f>P117/$P$7</f>
        <v>8.068448498111078E-4</v>
      </c>
      <c r="D117" s="15">
        <v>3000</v>
      </c>
      <c r="E117" s="15">
        <f t="shared" ref="E117:O120" si="85">D117</f>
        <v>3000</v>
      </c>
      <c r="F117" s="15">
        <f t="shared" si="85"/>
        <v>3000</v>
      </c>
      <c r="G117" s="15">
        <f t="shared" si="85"/>
        <v>3000</v>
      </c>
      <c r="H117" s="15">
        <f t="shared" si="85"/>
        <v>3000</v>
      </c>
      <c r="I117" s="15">
        <f t="shared" si="85"/>
        <v>3000</v>
      </c>
      <c r="J117" s="15">
        <f t="shared" si="85"/>
        <v>3000</v>
      </c>
      <c r="K117" s="15">
        <f t="shared" si="85"/>
        <v>3000</v>
      </c>
      <c r="L117" s="15">
        <f t="shared" si="85"/>
        <v>3000</v>
      </c>
      <c r="M117" s="15">
        <f t="shared" si="85"/>
        <v>3000</v>
      </c>
      <c r="N117" s="15">
        <f t="shared" si="85"/>
        <v>3000</v>
      </c>
      <c r="O117" s="15">
        <f t="shared" si="85"/>
        <v>3000</v>
      </c>
      <c r="P117" s="15">
        <f>SUM(D117:O117)</f>
        <v>36000</v>
      </c>
    </row>
    <row r="118" spans="1:17" x14ac:dyDescent="0.3">
      <c r="A118" s="22">
        <v>7140</v>
      </c>
      <c r="B118" s="43" t="s">
        <v>95</v>
      </c>
      <c r="C118" s="14">
        <f>P118/$P$7</f>
        <v>1.3447414163518463E-4</v>
      </c>
      <c r="D118" s="15">
        <v>500</v>
      </c>
      <c r="E118" s="15">
        <f t="shared" si="85"/>
        <v>500</v>
      </c>
      <c r="F118" s="15">
        <f t="shared" si="85"/>
        <v>500</v>
      </c>
      <c r="G118" s="15">
        <f t="shared" si="85"/>
        <v>500</v>
      </c>
      <c r="H118" s="15">
        <f t="shared" si="85"/>
        <v>500</v>
      </c>
      <c r="I118" s="15">
        <f t="shared" si="85"/>
        <v>500</v>
      </c>
      <c r="J118" s="15">
        <f t="shared" si="85"/>
        <v>500</v>
      </c>
      <c r="K118" s="15">
        <f t="shared" si="85"/>
        <v>500</v>
      </c>
      <c r="L118" s="15">
        <f t="shared" si="85"/>
        <v>500</v>
      </c>
      <c r="M118" s="15">
        <f t="shared" si="85"/>
        <v>500</v>
      </c>
      <c r="N118" s="15">
        <f t="shared" si="85"/>
        <v>500</v>
      </c>
      <c r="O118" s="15">
        <f t="shared" si="85"/>
        <v>500</v>
      </c>
      <c r="P118" s="15">
        <f>SUM(D118:O118)</f>
        <v>6000</v>
      </c>
    </row>
    <row r="119" spans="1:17" s="7" customFormat="1" x14ac:dyDescent="0.3">
      <c r="A119" s="22">
        <v>7150</v>
      </c>
      <c r="B119" s="43" t="s">
        <v>176</v>
      </c>
      <c r="C119" s="14">
        <f>P119/$P$7</f>
        <v>2.6894828327036927E-4</v>
      </c>
      <c r="D119" s="15">
        <v>1000</v>
      </c>
      <c r="E119" s="15">
        <f t="shared" si="85"/>
        <v>1000</v>
      </c>
      <c r="F119" s="15">
        <f t="shared" si="85"/>
        <v>1000</v>
      </c>
      <c r="G119" s="15">
        <f t="shared" si="85"/>
        <v>1000</v>
      </c>
      <c r="H119" s="15">
        <f t="shared" si="85"/>
        <v>1000</v>
      </c>
      <c r="I119" s="15">
        <f t="shared" si="85"/>
        <v>1000</v>
      </c>
      <c r="J119" s="15">
        <f t="shared" si="85"/>
        <v>1000</v>
      </c>
      <c r="K119" s="15">
        <f t="shared" si="85"/>
        <v>1000</v>
      </c>
      <c r="L119" s="15">
        <f t="shared" si="85"/>
        <v>1000</v>
      </c>
      <c r="M119" s="15">
        <f t="shared" si="85"/>
        <v>1000</v>
      </c>
      <c r="N119" s="15">
        <f t="shared" si="85"/>
        <v>1000</v>
      </c>
      <c r="O119" s="15">
        <f t="shared" si="85"/>
        <v>1000</v>
      </c>
      <c r="P119" s="15">
        <f>SUM(D119:O119)</f>
        <v>12000</v>
      </c>
      <c r="Q119" s="84"/>
    </row>
    <row r="120" spans="1:17" s="7" customFormat="1" x14ac:dyDescent="0.3">
      <c r="A120" s="22">
        <v>7160</v>
      </c>
      <c r="B120" s="43" t="s">
        <v>97</v>
      </c>
      <c r="C120" s="14">
        <f>P120/$P$7</f>
        <v>1.3447414163518463E-4</v>
      </c>
      <c r="D120" s="15">
        <v>500</v>
      </c>
      <c r="E120" s="15">
        <f t="shared" si="85"/>
        <v>500</v>
      </c>
      <c r="F120" s="15">
        <f t="shared" si="85"/>
        <v>500</v>
      </c>
      <c r="G120" s="15">
        <f t="shared" si="85"/>
        <v>500</v>
      </c>
      <c r="H120" s="15">
        <f t="shared" si="85"/>
        <v>500</v>
      </c>
      <c r="I120" s="15">
        <f t="shared" si="85"/>
        <v>500</v>
      </c>
      <c r="J120" s="15">
        <f t="shared" si="85"/>
        <v>500</v>
      </c>
      <c r="K120" s="15">
        <f t="shared" si="85"/>
        <v>500</v>
      </c>
      <c r="L120" s="15">
        <f t="shared" si="85"/>
        <v>500</v>
      </c>
      <c r="M120" s="15">
        <f t="shared" si="85"/>
        <v>500</v>
      </c>
      <c r="N120" s="15">
        <f t="shared" si="85"/>
        <v>500</v>
      </c>
      <c r="O120" s="15">
        <f t="shared" si="85"/>
        <v>500</v>
      </c>
      <c r="P120" s="15">
        <f>SUM(D120:O120)</f>
        <v>6000</v>
      </c>
      <c r="Q120" s="84"/>
    </row>
    <row r="121" spans="1:17" s="7" customFormat="1" x14ac:dyDescent="0.3">
      <c r="A121" s="23"/>
      <c r="B121" s="20" t="s">
        <v>93</v>
      </c>
      <c r="C121" s="26">
        <f>P121/$P$7</f>
        <v>1.3447414163518464E-3</v>
      </c>
      <c r="D121" s="17">
        <f t="shared" ref="D121:P121" si="86">SUM(D117:D120)</f>
        <v>5000</v>
      </c>
      <c r="E121" s="17">
        <f t="shared" si="86"/>
        <v>5000</v>
      </c>
      <c r="F121" s="17">
        <f t="shared" si="86"/>
        <v>5000</v>
      </c>
      <c r="G121" s="17">
        <f t="shared" si="86"/>
        <v>5000</v>
      </c>
      <c r="H121" s="17">
        <f t="shared" si="86"/>
        <v>5000</v>
      </c>
      <c r="I121" s="17">
        <f t="shared" si="86"/>
        <v>5000</v>
      </c>
      <c r="J121" s="17">
        <f t="shared" si="86"/>
        <v>5000</v>
      </c>
      <c r="K121" s="17">
        <f t="shared" si="86"/>
        <v>5000</v>
      </c>
      <c r="L121" s="17">
        <f t="shared" si="86"/>
        <v>5000</v>
      </c>
      <c r="M121" s="17">
        <f t="shared" si="86"/>
        <v>5000</v>
      </c>
      <c r="N121" s="17">
        <f t="shared" si="86"/>
        <v>5000</v>
      </c>
      <c r="O121" s="17">
        <f t="shared" si="86"/>
        <v>5000</v>
      </c>
      <c r="P121" s="17">
        <f t="shared" si="86"/>
        <v>60000</v>
      </c>
      <c r="Q121" s="84"/>
    </row>
    <row r="122" spans="1:17" s="7" customFormat="1" x14ac:dyDescent="0.3">
      <c r="A122" s="23"/>
      <c r="B122" s="23"/>
      <c r="C122" s="14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84"/>
    </row>
    <row r="123" spans="1:17" x14ac:dyDescent="0.3">
      <c r="A123" s="23" t="s">
        <v>98</v>
      </c>
      <c r="B123" s="21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7" x14ac:dyDescent="0.3">
      <c r="A124" s="22">
        <v>7320</v>
      </c>
      <c r="B124" s="43" t="s">
        <v>100</v>
      </c>
      <c r="C124" s="14">
        <f>P124/$P$7</f>
        <v>5.3789656654073853E-4</v>
      </c>
      <c r="D124" s="15">
        <v>2000</v>
      </c>
      <c r="E124" s="15">
        <f t="shared" ref="E124:O125" si="87">D124</f>
        <v>2000</v>
      </c>
      <c r="F124" s="15">
        <f t="shared" si="87"/>
        <v>2000</v>
      </c>
      <c r="G124" s="15">
        <f t="shared" si="87"/>
        <v>2000</v>
      </c>
      <c r="H124" s="15">
        <f t="shared" si="87"/>
        <v>2000</v>
      </c>
      <c r="I124" s="15">
        <f t="shared" si="87"/>
        <v>2000</v>
      </c>
      <c r="J124" s="15">
        <f t="shared" si="87"/>
        <v>2000</v>
      </c>
      <c r="K124" s="15">
        <f t="shared" si="87"/>
        <v>2000</v>
      </c>
      <c r="L124" s="15">
        <f t="shared" si="87"/>
        <v>2000</v>
      </c>
      <c r="M124" s="15">
        <f t="shared" si="87"/>
        <v>2000</v>
      </c>
      <c r="N124" s="15">
        <f t="shared" si="87"/>
        <v>2000</v>
      </c>
      <c r="O124" s="15">
        <f t="shared" si="87"/>
        <v>2000</v>
      </c>
      <c r="P124" s="15">
        <f>SUM(D124:O124)</f>
        <v>24000</v>
      </c>
    </row>
    <row r="125" spans="1:17" x14ac:dyDescent="0.3">
      <c r="A125" s="22">
        <v>7323</v>
      </c>
      <c r="B125" s="43" t="s">
        <v>101</v>
      </c>
      <c r="C125" s="14">
        <f>P125/$P$7</f>
        <v>8.068448498111078E-4</v>
      </c>
      <c r="D125" s="15">
        <v>3000</v>
      </c>
      <c r="E125" s="15">
        <f t="shared" si="87"/>
        <v>3000</v>
      </c>
      <c r="F125" s="15">
        <f t="shared" si="87"/>
        <v>3000</v>
      </c>
      <c r="G125" s="15">
        <f t="shared" si="87"/>
        <v>3000</v>
      </c>
      <c r="H125" s="15">
        <f t="shared" si="87"/>
        <v>3000</v>
      </c>
      <c r="I125" s="15">
        <f t="shared" si="87"/>
        <v>3000</v>
      </c>
      <c r="J125" s="15">
        <f t="shared" si="87"/>
        <v>3000</v>
      </c>
      <c r="K125" s="15">
        <f t="shared" si="87"/>
        <v>3000</v>
      </c>
      <c r="L125" s="15">
        <f t="shared" si="87"/>
        <v>3000</v>
      </c>
      <c r="M125" s="15">
        <f t="shared" si="87"/>
        <v>3000</v>
      </c>
      <c r="N125" s="15">
        <f t="shared" si="87"/>
        <v>3000</v>
      </c>
      <c r="O125" s="15">
        <f t="shared" si="87"/>
        <v>3000</v>
      </c>
      <c r="P125" s="15">
        <f>SUM(D125:O125)</f>
        <v>36000</v>
      </c>
    </row>
    <row r="126" spans="1:17" s="7" customFormat="1" x14ac:dyDescent="0.3">
      <c r="A126" s="23"/>
      <c r="B126" s="20" t="s">
        <v>99</v>
      </c>
      <c r="C126" s="26">
        <f>P126/$P$7</f>
        <v>1.3447414163518464E-3</v>
      </c>
      <c r="D126" s="17">
        <f>SUM(D124:D125)</f>
        <v>5000</v>
      </c>
      <c r="E126" s="17">
        <f t="shared" ref="E126:P126" si="88">SUM(E124:E125)</f>
        <v>5000</v>
      </c>
      <c r="F126" s="17">
        <f t="shared" si="88"/>
        <v>5000</v>
      </c>
      <c r="G126" s="17">
        <f t="shared" si="88"/>
        <v>5000</v>
      </c>
      <c r="H126" s="17">
        <f t="shared" si="88"/>
        <v>5000</v>
      </c>
      <c r="I126" s="17">
        <f t="shared" si="88"/>
        <v>5000</v>
      </c>
      <c r="J126" s="17">
        <f t="shared" si="88"/>
        <v>5000</v>
      </c>
      <c r="K126" s="17">
        <f t="shared" si="88"/>
        <v>5000</v>
      </c>
      <c r="L126" s="17">
        <f t="shared" si="88"/>
        <v>5000</v>
      </c>
      <c r="M126" s="17">
        <f t="shared" si="88"/>
        <v>5000</v>
      </c>
      <c r="N126" s="17">
        <f t="shared" si="88"/>
        <v>5000</v>
      </c>
      <c r="O126" s="17">
        <f t="shared" si="88"/>
        <v>5000</v>
      </c>
      <c r="P126" s="17">
        <f t="shared" si="88"/>
        <v>60000</v>
      </c>
      <c r="Q126" s="84"/>
    </row>
    <row r="127" spans="1:17" s="7" customFormat="1" x14ac:dyDescent="0.3">
      <c r="A127" s="23"/>
      <c r="B127" s="23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84"/>
    </row>
    <row r="128" spans="1:17" x14ac:dyDescent="0.3">
      <c r="A128" s="23" t="s">
        <v>103</v>
      </c>
      <c r="B128" s="21"/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7" x14ac:dyDescent="0.3">
      <c r="A129" s="22">
        <v>7400</v>
      </c>
      <c r="B129" s="43" t="s">
        <v>192</v>
      </c>
      <c r="C129" s="14">
        <f>P129/$P$7</f>
        <v>2.6894828327036927E-4</v>
      </c>
      <c r="D129" s="15">
        <v>1000</v>
      </c>
      <c r="E129" s="15">
        <f t="shared" ref="E129:O129" si="89">D129</f>
        <v>1000</v>
      </c>
      <c r="F129" s="15">
        <f t="shared" si="89"/>
        <v>1000</v>
      </c>
      <c r="G129" s="15">
        <f t="shared" si="89"/>
        <v>1000</v>
      </c>
      <c r="H129" s="15">
        <f t="shared" si="89"/>
        <v>1000</v>
      </c>
      <c r="I129" s="15">
        <f t="shared" si="89"/>
        <v>1000</v>
      </c>
      <c r="J129" s="15">
        <f t="shared" si="89"/>
        <v>1000</v>
      </c>
      <c r="K129" s="15">
        <f t="shared" si="89"/>
        <v>1000</v>
      </c>
      <c r="L129" s="15">
        <f t="shared" si="89"/>
        <v>1000</v>
      </c>
      <c r="M129" s="15">
        <f t="shared" si="89"/>
        <v>1000</v>
      </c>
      <c r="N129" s="15">
        <f t="shared" si="89"/>
        <v>1000</v>
      </c>
      <c r="O129" s="15">
        <f t="shared" si="89"/>
        <v>1000</v>
      </c>
      <c r="P129" s="15">
        <f>SUM(D129:O129)</f>
        <v>12000</v>
      </c>
    </row>
    <row r="130" spans="1:17" s="7" customFormat="1" x14ac:dyDescent="0.3">
      <c r="A130" s="23"/>
      <c r="B130" s="20" t="s">
        <v>104</v>
      </c>
      <c r="C130" s="26">
        <f>P130/$P$7</f>
        <v>2.6894828327036927E-4</v>
      </c>
      <c r="D130" s="17">
        <f t="shared" ref="D130:P130" si="90">SUM(D129:D129)</f>
        <v>1000</v>
      </c>
      <c r="E130" s="17">
        <f t="shared" si="90"/>
        <v>1000</v>
      </c>
      <c r="F130" s="17">
        <f t="shared" si="90"/>
        <v>1000</v>
      </c>
      <c r="G130" s="17">
        <f t="shared" si="90"/>
        <v>1000</v>
      </c>
      <c r="H130" s="17">
        <f t="shared" si="90"/>
        <v>1000</v>
      </c>
      <c r="I130" s="17">
        <f t="shared" si="90"/>
        <v>1000</v>
      </c>
      <c r="J130" s="17">
        <f t="shared" si="90"/>
        <v>1000</v>
      </c>
      <c r="K130" s="17">
        <f t="shared" si="90"/>
        <v>1000</v>
      </c>
      <c r="L130" s="17">
        <f t="shared" si="90"/>
        <v>1000</v>
      </c>
      <c r="M130" s="17">
        <f t="shared" si="90"/>
        <v>1000</v>
      </c>
      <c r="N130" s="17">
        <f t="shared" si="90"/>
        <v>1000</v>
      </c>
      <c r="O130" s="17">
        <f t="shared" si="90"/>
        <v>1000</v>
      </c>
      <c r="P130" s="17">
        <f t="shared" si="90"/>
        <v>12000</v>
      </c>
      <c r="Q130" s="84"/>
    </row>
    <row r="131" spans="1:17" s="7" customFormat="1" x14ac:dyDescent="0.3">
      <c r="A131" s="23"/>
      <c r="B131" s="23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84"/>
    </row>
    <row r="132" spans="1:17" x14ac:dyDescent="0.3">
      <c r="A132" s="23" t="s">
        <v>106</v>
      </c>
      <c r="B132" s="21"/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7" x14ac:dyDescent="0.3">
      <c r="A133" s="22">
        <v>7500</v>
      </c>
      <c r="B133" s="43" t="s">
        <v>107</v>
      </c>
      <c r="C133" s="14">
        <f>P133/$P$7</f>
        <v>2.6894828327036929E-3</v>
      </c>
      <c r="D133" s="15">
        <v>10000</v>
      </c>
      <c r="E133" s="15">
        <f t="shared" ref="E133:O133" si="91">D133</f>
        <v>10000</v>
      </c>
      <c r="F133" s="15">
        <f t="shared" si="91"/>
        <v>10000</v>
      </c>
      <c r="G133" s="15">
        <f t="shared" si="91"/>
        <v>10000</v>
      </c>
      <c r="H133" s="15">
        <f t="shared" si="91"/>
        <v>10000</v>
      </c>
      <c r="I133" s="15">
        <f t="shared" si="91"/>
        <v>10000</v>
      </c>
      <c r="J133" s="15">
        <f t="shared" si="91"/>
        <v>10000</v>
      </c>
      <c r="K133" s="15">
        <f t="shared" si="91"/>
        <v>10000</v>
      </c>
      <c r="L133" s="15">
        <f t="shared" si="91"/>
        <v>10000</v>
      </c>
      <c r="M133" s="15">
        <f t="shared" si="91"/>
        <v>10000</v>
      </c>
      <c r="N133" s="15">
        <f t="shared" si="91"/>
        <v>10000</v>
      </c>
      <c r="O133" s="15">
        <f t="shared" si="91"/>
        <v>10000</v>
      </c>
      <c r="P133" s="15">
        <f>SUM(D133:O133)</f>
        <v>120000</v>
      </c>
    </row>
    <row r="134" spans="1:17" s="7" customFormat="1" x14ac:dyDescent="0.3">
      <c r="A134" s="23"/>
      <c r="B134" s="20" t="s">
        <v>108</v>
      </c>
      <c r="C134" s="26">
        <f>P134/$P$7</f>
        <v>2.6894828327036929E-3</v>
      </c>
      <c r="D134" s="17">
        <f t="shared" ref="D134:P134" si="92">SUM(D133:D133)</f>
        <v>10000</v>
      </c>
      <c r="E134" s="17">
        <f t="shared" si="92"/>
        <v>10000</v>
      </c>
      <c r="F134" s="17">
        <f t="shared" si="92"/>
        <v>10000</v>
      </c>
      <c r="G134" s="17">
        <f t="shared" si="92"/>
        <v>10000</v>
      </c>
      <c r="H134" s="17">
        <f t="shared" si="92"/>
        <v>10000</v>
      </c>
      <c r="I134" s="17">
        <f t="shared" si="92"/>
        <v>10000</v>
      </c>
      <c r="J134" s="17">
        <f t="shared" si="92"/>
        <v>10000</v>
      </c>
      <c r="K134" s="17">
        <f t="shared" si="92"/>
        <v>10000</v>
      </c>
      <c r="L134" s="17">
        <f t="shared" si="92"/>
        <v>10000</v>
      </c>
      <c r="M134" s="17">
        <f t="shared" si="92"/>
        <v>10000</v>
      </c>
      <c r="N134" s="17">
        <f t="shared" si="92"/>
        <v>10000</v>
      </c>
      <c r="O134" s="17">
        <f t="shared" si="92"/>
        <v>10000</v>
      </c>
      <c r="P134" s="17">
        <f t="shared" si="92"/>
        <v>120000</v>
      </c>
      <c r="Q134" s="84"/>
    </row>
    <row r="135" spans="1:17" s="7" customFormat="1" x14ac:dyDescent="0.3">
      <c r="A135" s="23"/>
      <c r="B135" s="23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84"/>
    </row>
    <row r="136" spans="1:17" x14ac:dyDescent="0.3">
      <c r="A136" s="23" t="s">
        <v>109</v>
      </c>
      <c r="B136" s="21"/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7" x14ac:dyDescent="0.3">
      <c r="A137" s="22">
        <v>7550</v>
      </c>
      <c r="B137" s="43" t="s">
        <v>155</v>
      </c>
      <c r="C137" s="14">
        <f t="shared" ref="C137:C142" si="93">P137/$P$7</f>
        <v>1.0757931330814771E-3</v>
      </c>
      <c r="D137" s="15">
        <v>4000</v>
      </c>
      <c r="E137" s="15">
        <f t="shared" ref="E137:O138" si="94">D137</f>
        <v>4000</v>
      </c>
      <c r="F137" s="15">
        <f t="shared" si="94"/>
        <v>4000</v>
      </c>
      <c r="G137" s="15">
        <f t="shared" si="94"/>
        <v>4000</v>
      </c>
      <c r="H137" s="15">
        <f t="shared" si="94"/>
        <v>4000</v>
      </c>
      <c r="I137" s="15">
        <f t="shared" si="94"/>
        <v>4000</v>
      </c>
      <c r="J137" s="15">
        <f t="shared" si="94"/>
        <v>4000</v>
      </c>
      <c r="K137" s="15">
        <f t="shared" si="94"/>
        <v>4000</v>
      </c>
      <c r="L137" s="15">
        <f t="shared" si="94"/>
        <v>4000</v>
      </c>
      <c r="M137" s="15">
        <f t="shared" si="94"/>
        <v>4000</v>
      </c>
      <c r="N137" s="15">
        <f t="shared" si="94"/>
        <v>4000</v>
      </c>
      <c r="O137" s="15">
        <f t="shared" si="94"/>
        <v>4000</v>
      </c>
      <c r="P137" s="15">
        <f>SUM(D137:O137)</f>
        <v>48000</v>
      </c>
    </row>
    <row r="138" spans="1:17" x14ac:dyDescent="0.3">
      <c r="A138" s="22">
        <v>7560</v>
      </c>
      <c r="B138" s="43" t="s">
        <v>388</v>
      </c>
      <c r="C138" s="14">
        <f t="shared" si="93"/>
        <v>2.5908684621712237E-3</v>
      </c>
      <c r="D138" s="15">
        <f>100000/12+(30000-14400)/12</f>
        <v>9633.3333333333339</v>
      </c>
      <c r="E138" s="15">
        <f t="shared" si="94"/>
        <v>9633.3333333333339</v>
      </c>
      <c r="F138" s="15">
        <f t="shared" si="94"/>
        <v>9633.3333333333339</v>
      </c>
      <c r="G138" s="15">
        <f t="shared" si="94"/>
        <v>9633.3333333333339</v>
      </c>
      <c r="H138" s="15">
        <f t="shared" si="94"/>
        <v>9633.3333333333339</v>
      </c>
      <c r="I138" s="15">
        <f t="shared" si="94"/>
        <v>9633.3333333333339</v>
      </c>
      <c r="J138" s="15">
        <f t="shared" si="94"/>
        <v>9633.3333333333339</v>
      </c>
      <c r="K138" s="15">
        <f t="shared" si="94"/>
        <v>9633.3333333333339</v>
      </c>
      <c r="L138" s="15">
        <f t="shared" si="94"/>
        <v>9633.3333333333339</v>
      </c>
      <c r="M138" s="15">
        <f t="shared" si="94"/>
        <v>9633.3333333333339</v>
      </c>
      <c r="N138" s="15">
        <f t="shared" si="94"/>
        <v>9633.3333333333339</v>
      </c>
      <c r="O138" s="15">
        <f t="shared" si="94"/>
        <v>9633.3333333333339</v>
      </c>
      <c r="P138" s="15">
        <f>SUM(D138:O138)</f>
        <v>115599.99999999999</v>
      </c>
    </row>
    <row r="139" spans="1:17" x14ac:dyDescent="0.3">
      <c r="A139" s="22">
        <v>7710</v>
      </c>
      <c r="B139" s="43" t="s">
        <v>111</v>
      </c>
      <c r="C139" s="14">
        <f t="shared" si="93"/>
        <v>1.3447414163518463E-4</v>
      </c>
      <c r="D139" s="15">
        <v>500</v>
      </c>
      <c r="E139" s="15">
        <f t="shared" ref="E139:O141" si="95">D139</f>
        <v>500</v>
      </c>
      <c r="F139" s="15">
        <f t="shared" si="95"/>
        <v>500</v>
      </c>
      <c r="G139" s="15">
        <f t="shared" si="95"/>
        <v>500</v>
      </c>
      <c r="H139" s="15">
        <f t="shared" si="95"/>
        <v>500</v>
      </c>
      <c r="I139" s="15">
        <f t="shared" si="95"/>
        <v>500</v>
      </c>
      <c r="J139" s="15">
        <f t="shared" si="95"/>
        <v>500</v>
      </c>
      <c r="K139" s="15">
        <f t="shared" si="95"/>
        <v>500</v>
      </c>
      <c r="L139" s="15">
        <f t="shared" si="95"/>
        <v>500</v>
      </c>
      <c r="M139" s="15">
        <f t="shared" si="95"/>
        <v>500</v>
      </c>
      <c r="N139" s="15">
        <f t="shared" si="95"/>
        <v>500</v>
      </c>
      <c r="O139" s="15">
        <f t="shared" si="95"/>
        <v>500</v>
      </c>
      <c r="P139" s="15">
        <f>SUM(D139:O139)</f>
        <v>6000</v>
      </c>
    </row>
    <row r="140" spans="1:17" x14ac:dyDescent="0.3">
      <c r="A140" s="22">
        <v>7770</v>
      </c>
      <c r="B140" s="43" t="s">
        <v>112</v>
      </c>
      <c r="C140" s="14">
        <f t="shared" si="93"/>
        <v>5.3789656654073853E-4</v>
      </c>
      <c r="D140" s="15">
        <v>2000</v>
      </c>
      <c r="E140" s="15">
        <f t="shared" si="95"/>
        <v>2000</v>
      </c>
      <c r="F140" s="15">
        <f t="shared" si="95"/>
        <v>2000</v>
      </c>
      <c r="G140" s="15">
        <f t="shared" si="95"/>
        <v>2000</v>
      </c>
      <c r="H140" s="15">
        <f t="shared" si="95"/>
        <v>2000</v>
      </c>
      <c r="I140" s="15">
        <f t="shared" si="95"/>
        <v>2000</v>
      </c>
      <c r="J140" s="15">
        <f t="shared" si="95"/>
        <v>2000</v>
      </c>
      <c r="K140" s="15">
        <f t="shared" si="95"/>
        <v>2000</v>
      </c>
      <c r="L140" s="15">
        <f t="shared" si="95"/>
        <v>2000</v>
      </c>
      <c r="M140" s="15">
        <f t="shared" si="95"/>
        <v>2000</v>
      </c>
      <c r="N140" s="15">
        <f t="shared" si="95"/>
        <v>2000</v>
      </c>
      <c r="O140" s="15">
        <f t="shared" si="95"/>
        <v>2000</v>
      </c>
      <c r="P140" s="15">
        <f>SUM(D140:O140)</f>
        <v>24000</v>
      </c>
    </row>
    <row r="141" spans="1:17" s="7" customFormat="1" x14ac:dyDescent="0.3">
      <c r="A141" s="22">
        <v>7790</v>
      </c>
      <c r="B141" s="43" t="s">
        <v>113</v>
      </c>
      <c r="C141" s="14">
        <f t="shared" si="93"/>
        <v>2.6894828327036927E-4</v>
      </c>
      <c r="D141" s="15">
        <v>1000</v>
      </c>
      <c r="E141" s="15">
        <f t="shared" si="95"/>
        <v>1000</v>
      </c>
      <c r="F141" s="15">
        <f t="shared" si="95"/>
        <v>1000</v>
      </c>
      <c r="G141" s="15">
        <f t="shared" si="95"/>
        <v>1000</v>
      </c>
      <c r="H141" s="15">
        <f t="shared" si="95"/>
        <v>1000</v>
      </c>
      <c r="I141" s="15">
        <f t="shared" si="95"/>
        <v>1000</v>
      </c>
      <c r="J141" s="15">
        <f t="shared" si="95"/>
        <v>1000</v>
      </c>
      <c r="K141" s="15">
        <f t="shared" si="95"/>
        <v>1000</v>
      </c>
      <c r="L141" s="15">
        <f t="shared" si="95"/>
        <v>1000</v>
      </c>
      <c r="M141" s="15">
        <f t="shared" si="95"/>
        <v>1000</v>
      </c>
      <c r="N141" s="15">
        <f t="shared" si="95"/>
        <v>1000</v>
      </c>
      <c r="O141" s="15">
        <f t="shared" si="95"/>
        <v>1000</v>
      </c>
      <c r="P141" s="15">
        <f>SUM(D141:O141)</f>
        <v>12000</v>
      </c>
      <c r="Q141" s="84"/>
    </row>
    <row r="142" spans="1:17" s="7" customFormat="1" x14ac:dyDescent="0.3">
      <c r="A142" s="23"/>
      <c r="B142" s="20" t="s">
        <v>110</v>
      </c>
      <c r="C142" s="26">
        <f t="shared" si="93"/>
        <v>4.6079805866989934E-3</v>
      </c>
      <c r="D142" s="17">
        <f>SUM(D137:D141)</f>
        <v>17133.333333333336</v>
      </c>
      <c r="E142" s="17">
        <f t="shared" ref="E142:P142" si="96">SUM(E137:E141)</f>
        <v>17133.333333333336</v>
      </c>
      <c r="F142" s="17">
        <f t="shared" si="96"/>
        <v>17133.333333333336</v>
      </c>
      <c r="G142" s="17">
        <f t="shared" si="96"/>
        <v>17133.333333333336</v>
      </c>
      <c r="H142" s="17">
        <f t="shared" si="96"/>
        <v>17133.333333333336</v>
      </c>
      <c r="I142" s="17">
        <f t="shared" si="96"/>
        <v>17133.333333333336</v>
      </c>
      <c r="J142" s="17">
        <f t="shared" si="96"/>
        <v>17133.333333333336</v>
      </c>
      <c r="K142" s="17">
        <f t="shared" si="96"/>
        <v>17133.333333333336</v>
      </c>
      <c r="L142" s="17">
        <f t="shared" si="96"/>
        <v>17133.333333333336</v>
      </c>
      <c r="M142" s="17">
        <f t="shared" si="96"/>
        <v>17133.333333333336</v>
      </c>
      <c r="N142" s="17">
        <f t="shared" si="96"/>
        <v>17133.333333333336</v>
      </c>
      <c r="O142" s="17">
        <f t="shared" si="96"/>
        <v>17133.333333333336</v>
      </c>
      <c r="P142" s="17">
        <f t="shared" si="96"/>
        <v>205600</v>
      </c>
      <c r="Q142" s="84"/>
    </row>
    <row r="143" spans="1:17" s="7" customFormat="1" x14ac:dyDescent="0.3">
      <c r="A143" s="23"/>
      <c r="B143" s="23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84"/>
    </row>
    <row r="144" spans="1:17" x14ac:dyDescent="0.3">
      <c r="A144" s="23" t="s">
        <v>115</v>
      </c>
      <c r="B144" s="21"/>
      <c r="C144" s="14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7" x14ac:dyDescent="0.3">
      <c r="A145" s="22">
        <v>7830</v>
      </c>
      <c r="B145" s="43" t="s">
        <v>50</v>
      </c>
      <c r="C145" s="14">
        <f>P145/$P$7</f>
        <v>6.7237070817592322E-4</v>
      </c>
      <c r="D145" s="15">
        <v>2500</v>
      </c>
      <c r="E145" s="15">
        <f t="shared" ref="E145:O145" si="97">D145</f>
        <v>2500</v>
      </c>
      <c r="F145" s="15">
        <f t="shared" si="97"/>
        <v>2500</v>
      </c>
      <c r="G145" s="15">
        <f t="shared" si="97"/>
        <v>2500</v>
      </c>
      <c r="H145" s="15">
        <f t="shared" si="97"/>
        <v>2500</v>
      </c>
      <c r="I145" s="15">
        <f t="shared" si="97"/>
        <v>2500</v>
      </c>
      <c r="J145" s="15">
        <f t="shared" si="97"/>
        <v>2500</v>
      </c>
      <c r="K145" s="15">
        <f t="shared" si="97"/>
        <v>2500</v>
      </c>
      <c r="L145" s="15">
        <f t="shared" si="97"/>
        <v>2500</v>
      </c>
      <c r="M145" s="15">
        <f t="shared" si="97"/>
        <v>2500</v>
      </c>
      <c r="N145" s="15">
        <f t="shared" si="97"/>
        <v>2500</v>
      </c>
      <c r="O145" s="15">
        <f t="shared" si="97"/>
        <v>2500</v>
      </c>
      <c r="P145" s="15">
        <f>SUM(D145:O145)</f>
        <v>30000</v>
      </c>
    </row>
    <row r="146" spans="1:17" s="7" customFormat="1" x14ac:dyDescent="0.3">
      <c r="A146" s="23"/>
      <c r="B146" s="20" t="s">
        <v>116</v>
      </c>
      <c r="C146" s="26">
        <f>P146/$P$7</f>
        <v>6.7237070817592322E-4</v>
      </c>
      <c r="D146" s="17">
        <f t="shared" ref="D146:P146" si="98">SUM(D145:D145)</f>
        <v>2500</v>
      </c>
      <c r="E146" s="17">
        <f t="shared" si="98"/>
        <v>2500</v>
      </c>
      <c r="F146" s="17">
        <f t="shared" si="98"/>
        <v>2500</v>
      </c>
      <c r="G146" s="17">
        <f t="shared" si="98"/>
        <v>2500</v>
      </c>
      <c r="H146" s="17">
        <f t="shared" si="98"/>
        <v>2500</v>
      </c>
      <c r="I146" s="17">
        <f t="shared" si="98"/>
        <v>2500</v>
      </c>
      <c r="J146" s="17">
        <f t="shared" si="98"/>
        <v>2500</v>
      </c>
      <c r="K146" s="17">
        <f t="shared" si="98"/>
        <v>2500</v>
      </c>
      <c r="L146" s="17">
        <f t="shared" si="98"/>
        <v>2500</v>
      </c>
      <c r="M146" s="17">
        <f t="shared" si="98"/>
        <v>2500</v>
      </c>
      <c r="N146" s="17">
        <f t="shared" si="98"/>
        <v>2500</v>
      </c>
      <c r="O146" s="17">
        <f t="shared" si="98"/>
        <v>2500</v>
      </c>
      <c r="P146" s="17">
        <f t="shared" si="98"/>
        <v>30000</v>
      </c>
      <c r="Q146" s="84"/>
    </row>
    <row r="147" spans="1:17" s="7" customFormat="1" x14ac:dyDescent="0.3">
      <c r="A147" s="23"/>
      <c r="B147" s="23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84"/>
    </row>
    <row r="148" spans="1:17" s="7" customFormat="1" x14ac:dyDescent="0.3">
      <c r="A148" s="23"/>
      <c r="B148" s="23" t="s">
        <v>259</v>
      </c>
      <c r="C148" s="14"/>
      <c r="D148" s="16">
        <f>D146+D142+D134+D130+D126+D121+D114+D107+D99+D92+D88+D79+D70+D60</f>
        <v>323961.33333333337</v>
      </c>
      <c r="E148" s="16">
        <f t="shared" ref="E148:P148" si="99">E146+E142+E134+E130+E126+E121+E114+E107+E99+E92+E88+E79+E70+E60</f>
        <v>323961.33333333337</v>
      </c>
      <c r="F148" s="16">
        <f t="shared" si="99"/>
        <v>323961.33333333337</v>
      </c>
      <c r="G148" s="16">
        <f t="shared" si="99"/>
        <v>323961.33333333337</v>
      </c>
      <c r="H148" s="16">
        <f t="shared" si="99"/>
        <v>323961.33333333337</v>
      </c>
      <c r="I148" s="16">
        <f t="shared" si="99"/>
        <v>323961.33333333337</v>
      </c>
      <c r="J148" s="16">
        <f t="shared" si="99"/>
        <v>320961.33333333337</v>
      </c>
      <c r="K148" s="16">
        <f t="shared" si="99"/>
        <v>320961.33333333337</v>
      </c>
      <c r="L148" s="16">
        <f t="shared" si="99"/>
        <v>320961.33333333337</v>
      </c>
      <c r="M148" s="16">
        <f t="shared" si="99"/>
        <v>320961.33333333337</v>
      </c>
      <c r="N148" s="16">
        <f t="shared" si="99"/>
        <v>320961.33333333337</v>
      </c>
      <c r="O148" s="16">
        <f t="shared" si="99"/>
        <v>320961.33333333337</v>
      </c>
      <c r="P148" s="16">
        <f t="shared" si="99"/>
        <v>3869536</v>
      </c>
      <c r="Q148" s="108">
        <f>P148/$P$7</f>
        <v>8.6725422021074305E-2</v>
      </c>
    </row>
    <row r="149" spans="1:17" x14ac:dyDescent="0.3">
      <c r="A149" s="23"/>
      <c r="B149" s="24"/>
      <c r="C149" s="18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</row>
    <row r="150" spans="1:17" x14ac:dyDescent="0.3">
      <c r="A150" s="23" t="s">
        <v>16</v>
      </c>
      <c r="B150" s="24"/>
      <c r="C150" s="14">
        <f t="shared" ref="C150:C160" si="100">P150/$P$7</f>
        <v>4.5932619370895017E-2</v>
      </c>
      <c r="D150" s="16">
        <f>D56-D148</f>
        <v>44999.699719586293</v>
      </c>
      <c r="E150" s="16">
        <f t="shared" ref="E150:P150" si="101">E56-E148</f>
        <v>103757.66122414113</v>
      </c>
      <c r="F150" s="16">
        <f t="shared" si="101"/>
        <v>476547.1760763108</v>
      </c>
      <c r="G150" s="16">
        <f t="shared" si="101"/>
        <v>-104345.5266382246</v>
      </c>
      <c r="H150" s="16">
        <f t="shared" si="101"/>
        <v>-110969.32898848702</v>
      </c>
      <c r="I150" s="16">
        <f t="shared" si="101"/>
        <v>495956.8664390092</v>
      </c>
      <c r="J150" s="16">
        <f t="shared" si="101"/>
        <v>-49271.446565664839</v>
      </c>
      <c r="K150" s="16">
        <f t="shared" si="101"/>
        <v>432669.16038551053</v>
      </c>
      <c r="L150" s="16">
        <f t="shared" si="101"/>
        <v>756484.87553007749</v>
      </c>
      <c r="M150" s="16">
        <f t="shared" si="101"/>
        <v>519342.27793203539</v>
      </c>
      <c r="N150" s="16">
        <f t="shared" si="101"/>
        <v>-221507.56248644285</v>
      </c>
      <c r="O150" s="16">
        <f t="shared" si="101"/>
        <v>-294231.05555497657</v>
      </c>
      <c r="P150" s="16">
        <f t="shared" si="101"/>
        <v>2049432.7970728725</v>
      </c>
      <c r="Q150" s="108">
        <f>P150/$P$7</f>
        <v>4.5932619370895017E-2</v>
      </c>
    </row>
    <row r="151" spans="1:17" x14ac:dyDescent="0.3">
      <c r="A151" s="29"/>
      <c r="B151" s="21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7" x14ac:dyDescent="0.3">
      <c r="A152" s="23" t="s">
        <v>17</v>
      </c>
      <c r="B152" s="21"/>
      <c r="C152" s="1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7" ht="11.25" customHeight="1" outlineLevel="1" x14ac:dyDescent="0.3">
      <c r="A153" s="22">
        <v>8050</v>
      </c>
      <c r="B153" s="43" t="s">
        <v>51</v>
      </c>
      <c r="C153" s="14">
        <f t="shared" si="100"/>
        <v>-1.3447414163518463E-4</v>
      </c>
      <c r="D153" s="15">
        <v>-500</v>
      </c>
      <c r="E153" s="15">
        <f>D153</f>
        <v>-500</v>
      </c>
      <c r="F153" s="15">
        <f t="shared" ref="F153:O157" si="102">E153</f>
        <v>-500</v>
      </c>
      <c r="G153" s="15">
        <f t="shared" si="102"/>
        <v>-500</v>
      </c>
      <c r="H153" s="15">
        <f t="shared" si="102"/>
        <v>-500</v>
      </c>
      <c r="I153" s="15">
        <f t="shared" si="102"/>
        <v>-500</v>
      </c>
      <c r="J153" s="15">
        <f t="shared" si="102"/>
        <v>-500</v>
      </c>
      <c r="K153" s="15">
        <f t="shared" si="102"/>
        <v>-500</v>
      </c>
      <c r="L153" s="15">
        <f t="shared" si="102"/>
        <v>-500</v>
      </c>
      <c r="M153" s="15">
        <f t="shared" si="102"/>
        <v>-500</v>
      </c>
      <c r="N153" s="15">
        <f t="shared" si="102"/>
        <v>-500</v>
      </c>
      <c r="O153" s="15">
        <f t="shared" si="102"/>
        <v>-500</v>
      </c>
      <c r="P153" s="15">
        <f>SUM(D153:O153)</f>
        <v>-6000</v>
      </c>
    </row>
    <row r="154" spans="1:17" ht="11.25" customHeight="1" outlineLevel="1" x14ac:dyDescent="0.3">
      <c r="A154" s="22">
        <v>8055</v>
      </c>
      <c r="B154" s="43" t="s">
        <v>389</v>
      </c>
      <c r="C154" s="14">
        <f t="shared" si="100"/>
        <v>-4.034224249055539E-4</v>
      </c>
      <c r="D154" s="15">
        <v>-1500</v>
      </c>
      <c r="E154" s="15">
        <f>D154</f>
        <v>-1500</v>
      </c>
      <c r="F154" s="15">
        <f t="shared" ref="F154" si="103">E154</f>
        <v>-1500</v>
      </c>
      <c r="G154" s="15">
        <f t="shared" ref="G154" si="104">F154</f>
        <v>-1500</v>
      </c>
      <c r="H154" s="15">
        <f t="shared" ref="H154" si="105">G154</f>
        <v>-1500</v>
      </c>
      <c r="I154" s="15">
        <f t="shared" ref="I154" si="106">H154</f>
        <v>-1500</v>
      </c>
      <c r="J154" s="15">
        <f t="shared" ref="J154" si="107">I154</f>
        <v>-1500</v>
      </c>
      <c r="K154" s="15">
        <f t="shared" ref="K154" si="108">J154</f>
        <v>-1500</v>
      </c>
      <c r="L154" s="15">
        <f t="shared" ref="L154" si="109">K154</f>
        <v>-1500</v>
      </c>
      <c r="M154" s="15">
        <f t="shared" ref="M154" si="110">L154</f>
        <v>-1500</v>
      </c>
      <c r="N154" s="15">
        <f t="shared" ref="N154" si="111">M154</f>
        <v>-1500</v>
      </c>
      <c r="O154" s="15">
        <f t="shared" ref="O154" si="112">N154</f>
        <v>-1500</v>
      </c>
      <c r="P154" s="15">
        <f>SUM(D154:O154)</f>
        <v>-18000</v>
      </c>
    </row>
    <row r="155" spans="1:17" outlineLevel="1" x14ac:dyDescent="0.3">
      <c r="A155" s="22">
        <v>8150</v>
      </c>
      <c r="B155" s="21" t="s">
        <v>52</v>
      </c>
      <c r="C155" s="14">
        <f t="shared" si="100"/>
        <v>0</v>
      </c>
      <c r="D155" s="15">
        <v>0</v>
      </c>
      <c r="E155" s="15">
        <f>D155</f>
        <v>0</v>
      </c>
      <c r="F155" s="15">
        <f t="shared" si="102"/>
        <v>0</v>
      </c>
      <c r="G155" s="15">
        <f t="shared" si="102"/>
        <v>0</v>
      </c>
      <c r="H155" s="15">
        <f t="shared" si="102"/>
        <v>0</v>
      </c>
      <c r="I155" s="15">
        <f t="shared" si="102"/>
        <v>0</v>
      </c>
      <c r="J155" s="15">
        <f t="shared" si="102"/>
        <v>0</v>
      </c>
      <c r="K155" s="15">
        <f t="shared" si="102"/>
        <v>0</v>
      </c>
      <c r="L155" s="15">
        <f t="shared" si="102"/>
        <v>0</v>
      </c>
      <c r="M155" s="15">
        <f t="shared" si="102"/>
        <v>0</v>
      </c>
      <c r="N155" s="15">
        <f t="shared" si="102"/>
        <v>0</v>
      </c>
      <c r="O155" s="15">
        <f t="shared" si="102"/>
        <v>0</v>
      </c>
      <c r="P155" s="15">
        <f>SUM(D155:O155)</f>
        <v>0</v>
      </c>
    </row>
    <row r="156" spans="1:17" outlineLevel="1" x14ac:dyDescent="0.3">
      <c r="A156" s="22">
        <v>8154</v>
      </c>
      <c r="B156" s="43" t="s">
        <v>117</v>
      </c>
      <c r="C156" s="14">
        <f>P156/$P$7</f>
        <v>0</v>
      </c>
      <c r="D156" s="15">
        <v>0</v>
      </c>
      <c r="E156" s="15">
        <f>D156</f>
        <v>0</v>
      </c>
      <c r="F156" s="15">
        <f t="shared" si="102"/>
        <v>0</v>
      </c>
      <c r="G156" s="15">
        <f t="shared" si="102"/>
        <v>0</v>
      </c>
      <c r="H156" s="15">
        <f t="shared" si="102"/>
        <v>0</v>
      </c>
      <c r="I156" s="15">
        <f t="shared" si="102"/>
        <v>0</v>
      </c>
      <c r="J156" s="15">
        <f t="shared" si="102"/>
        <v>0</v>
      </c>
      <c r="K156" s="15">
        <f t="shared" si="102"/>
        <v>0</v>
      </c>
      <c r="L156" s="15">
        <f t="shared" si="102"/>
        <v>0</v>
      </c>
      <c r="M156" s="15">
        <f t="shared" si="102"/>
        <v>0</v>
      </c>
      <c r="N156" s="15">
        <f t="shared" si="102"/>
        <v>0</v>
      </c>
      <c r="O156" s="15">
        <f t="shared" si="102"/>
        <v>0</v>
      </c>
      <c r="P156" s="15">
        <f>SUM(D156:O156)</f>
        <v>0</v>
      </c>
    </row>
    <row r="157" spans="1:17" outlineLevel="1" x14ac:dyDescent="0.3">
      <c r="A157" s="22">
        <v>8155</v>
      </c>
      <c r="B157" s="43" t="s">
        <v>118</v>
      </c>
      <c r="C157" s="14">
        <f t="shared" si="100"/>
        <v>2.6894828327036927E-4</v>
      </c>
      <c r="D157" s="15">
        <v>1000</v>
      </c>
      <c r="E157" s="15">
        <f>D157</f>
        <v>1000</v>
      </c>
      <c r="F157" s="15">
        <f t="shared" si="102"/>
        <v>1000</v>
      </c>
      <c r="G157" s="15">
        <f t="shared" si="102"/>
        <v>1000</v>
      </c>
      <c r="H157" s="15">
        <f t="shared" si="102"/>
        <v>1000</v>
      </c>
      <c r="I157" s="15">
        <f t="shared" si="102"/>
        <v>1000</v>
      </c>
      <c r="J157" s="15">
        <f t="shared" si="102"/>
        <v>1000</v>
      </c>
      <c r="K157" s="15">
        <f t="shared" si="102"/>
        <v>1000</v>
      </c>
      <c r="L157" s="15">
        <f t="shared" si="102"/>
        <v>1000</v>
      </c>
      <c r="M157" s="15">
        <f t="shared" si="102"/>
        <v>1000</v>
      </c>
      <c r="N157" s="15">
        <f t="shared" si="102"/>
        <v>1000</v>
      </c>
      <c r="O157" s="15">
        <f t="shared" si="102"/>
        <v>1000</v>
      </c>
      <c r="P157" s="15">
        <f>SUM(D157:O157)</f>
        <v>12000</v>
      </c>
    </row>
    <row r="158" spans="1:17" x14ac:dyDescent="0.3">
      <c r="A158" s="9"/>
      <c r="B158" s="20" t="s">
        <v>39</v>
      </c>
      <c r="C158" s="26">
        <f t="shared" si="100"/>
        <v>-2.6894828327036927E-4</v>
      </c>
      <c r="D158" s="17">
        <f>SUM(D153:D157)</f>
        <v>-1000</v>
      </c>
      <c r="E158" s="17">
        <f t="shared" ref="E158:P158" si="113">SUM(E153:E157)</f>
        <v>-1000</v>
      </c>
      <c r="F158" s="17">
        <f t="shared" si="113"/>
        <v>-1000</v>
      </c>
      <c r="G158" s="17">
        <f t="shared" si="113"/>
        <v>-1000</v>
      </c>
      <c r="H158" s="17">
        <f t="shared" si="113"/>
        <v>-1000</v>
      </c>
      <c r="I158" s="17">
        <f t="shared" si="113"/>
        <v>-1000</v>
      </c>
      <c r="J158" s="17">
        <f t="shared" si="113"/>
        <v>-1000</v>
      </c>
      <c r="K158" s="17">
        <f t="shared" si="113"/>
        <v>-1000</v>
      </c>
      <c r="L158" s="17">
        <f t="shared" si="113"/>
        <v>-1000</v>
      </c>
      <c r="M158" s="17">
        <f t="shared" si="113"/>
        <v>-1000</v>
      </c>
      <c r="N158" s="17">
        <f t="shared" si="113"/>
        <v>-1000</v>
      </c>
      <c r="O158" s="17">
        <f t="shared" si="113"/>
        <v>-1000</v>
      </c>
      <c r="P158" s="17">
        <f t="shared" si="113"/>
        <v>-12000</v>
      </c>
    </row>
    <row r="159" spans="1:17" x14ac:dyDescent="0.3">
      <c r="A159" s="9"/>
      <c r="B159" s="24"/>
      <c r="C159" s="18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</row>
    <row r="160" spans="1:17" x14ac:dyDescent="0.3">
      <c r="A160" s="31" t="s">
        <v>22</v>
      </c>
      <c r="B160" s="25"/>
      <c r="C160" s="38">
        <f t="shared" si="100"/>
        <v>4.6201567654165381E-2</v>
      </c>
      <c r="D160" s="19">
        <f t="shared" ref="D160:N160" si="114">D150-D158</f>
        <v>45999.699719586293</v>
      </c>
      <c r="E160" s="19">
        <f t="shared" si="114"/>
        <v>104757.66122414113</v>
      </c>
      <c r="F160" s="19">
        <f t="shared" si="114"/>
        <v>477547.1760763108</v>
      </c>
      <c r="G160" s="19">
        <f t="shared" si="114"/>
        <v>-103345.5266382246</v>
      </c>
      <c r="H160" s="19">
        <f t="shared" si="114"/>
        <v>-109969.32898848702</v>
      </c>
      <c r="I160" s="19">
        <f t="shared" si="114"/>
        <v>496956.8664390092</v>
      </c>
      <c r="J160" s="19">
        <f t="shared" si="114"/>
        <v>-48271.446565664839</v>
      </c>
      <c r="K160" s="19">
        <f t="shared" si="114"/>
        <v>433669.16038551053</v>
      </c>
      <c r="L160" s="19">
        <f t="shared" si="114"/>
        <v>757484.87553007749</v>
      </c>
      <c r="M160" s="19">
        <f t="shared" si="114"/>
        <v>520342.27793203539</v>
      </c>
      <c r="N160" s="19">
        <f t="shared" si="114"/>
        <v>-220507.56248644285</v>
      </c>
      <c r="O160" s="19">
        <f>O150-O158</f>
        <v>-293231.05555497657</v>
      </c>
      <c r="P160" s="19">
        <f>P150-P158</f>
        <v>2061432.7970728725</v>
      </c>
    </row>
    <row r="161" spans="1:16" x14ac:dyDescent="0.3">
      <c r="A161" s="8"/>
      <c r="B161" s="24"/>
      <c r="C161" s="32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</row>
    <row r="162" spans="1:16" x14ac:dyDescent="0.3">
      <c r="A162" s="31" t="s">
        <v>23</v>
      </c>
      <c r="B162" s="25"/>
      <c r="C162" s="33"/>
      <c r="D162" s="19">
        <f>D160</f>
        <v>45999.699719586293</v>
      </c>
      <c r="E162" s="19">
        <f>D162+E160</f>
        <v>150757.36094372743</v>
      </c>
      <c r="F162" s="19">
        <f t="shared" ref="F162:O162" si="115">E162+F160</f>
        <v>628304.53702003823</v>
      </c>
      <c r="G162" s="19">
        <f t="shared" si="115"/>
        <v>524959.01038181363</v>
      </c>
      <c r="H162" s="19">
        <f t="shared" si="115"/>
        <v>414989.68139332661</v>
      </c>
      <c r="I162" s="19">
        <f t="shared" si="115"/>
        <v>911946.54783233581</v>
      </c>
      <c r="J162" s="19">
        <f t="shared" si="115"/>
        <v>863675.10126667097</v>
      </c>
      <c r="K162" s="19">
        <f t="shared" si="115"/>
        <v>1297344.2616521814</v>
      </c>
      <c r="L162" s="19">
        <f t="shared" si="115"/>
        <v>2054829.137182259</v>
      </c>
      <c r="M162" s="19">
        <f t="shared" si="115"/>
        <v>2575171.4151142943</v>
      </c>
      <c r="N162" s="19">
        <f t="shared" si="115"/>
        <v>2354663.8526278515</v>
      </c>
      <c r="O162" s="19">
        <f t="shared" si="115"/>
        <v>2061432.7970728748</v>
      </c>
      <c r="P162" s="19">
        <f>O162</f>
        <v>2061432.7970728748</v>
      </c>
    </row>
    <row r="163" spans="1:16" x14ac:dyDescent="0.3"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6"/>
    </row>
    <row r="164" spans="1:16" x14ac:dyDescent="0.3"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6"/>
    </row>
    <row r="165" spans="1:16" ht="15.45" x14ac:dyDescent="0.4">
      <c r="B165" s="12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6"/>
    </row>
    <row r="166" spans="1:16" x14ac:dyDescent="0.3"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6"/>
    </row>
    <row r="167" spans="1:16" x14ac:dyDescent="0.3"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6"/>
    </row>
    <row r="168" spans="1:16" x14ac:dyDescent="0.3"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6"/>
    </row>
    <row r="169" spans="1:16" x14ac:dyDescent="0.3"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6"/>
    </row>
    <row r="170" spans="1:16" x14ac:dyDescent="0.3"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6"/>
    </row>
    <row r="171" spans="1:16" x14ac:dyDescent="0.3"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6"/>
    </row>
    <row r="172" spans="1:16" x14ac:dyDescent="0.3"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6"/>
    </row>
    <row r="173" spans="1:16" x14ac:dyDescent="0.3"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6"/>
    </row>
    <row r="174" spans="1:16" x14ac:dyDescent="0.3"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6"/>
    </row>
    <row r="175" spans="1:16" x14ac:dyDescent="0.3"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6"/>
    </row>
    <row r="176" spans="1:16" x14ac:dyDescent="0.3"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6"/>
    </row>
    <row r="177" spans="3:16" x14ac:dyDescent="0.3"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6"/>
    </row>
    <row r="178" spans="3:16" x14ac:dyDescent="0.3"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6"/>
    </row>
    <row r="179" spans="3:16" x14ac:dyDescent="0.3"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6"/>
    </row>
    <row r="180" spans="3:16" x14ac:dyDescent="0.3"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6"/>
    </row>
    <row r="181" spans="3:16" x14ac:dyDescent="0.3"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6"/>
    </row>
    <row r="182" spans="3:16" x14ac:dyDescent="0.3"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6"/>
    </row>
    <row r="183" spans="3:16" x14ac:dyDescent="0.3"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6"/>
    </row>
    <row r="184" spans="3:16" x14ac:dyDescent="0.3"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6"/>
    </row>
    <row r="185" spans="3:16" x14ac:dyDescent="0.3"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6"/>
    </row>
    <row r="186" spans="3:16" x14ac:dyDescent="0.3"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6"/>
    </row>
    <row r="187" spans="3:16" x14ac:dyDescent="0.3"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6"/>
    </row>
  </sheetData>
  <pageMargins left="0.27559055118110237" right="0.27559055118110237" top="0.27559055118110237" bottom="0.27559055118110237" header="0.31496062992125984" footer="0.31496062992125984"/>
  <pageSetup paperSize="9" scale="4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34"/>
  <sheetViews>
    <sheetView zoomScale="115" zoomScaleNormal="115" workbookViewId="0">
      <selection activeCell="R15" sqref="R15"/>
    </sheetView>
  </sheetViews>
  <sheetFormatPr baseColWidth="10" defaultRowHeight="12.45" outlineLevelRow="1" x14ac:dyDescent="0.3"/>
  <cols>
    <col min="1" max="1" width="4.84375" style="1" customWidth="1"/>
    <col min="2" max="2" width="26.07421875" customWidth="1"/>
    <col min="3" max="3" width="7.4609375" style="2" bestFit="1" customWidth="1"/>
    <col min="4" max="15" width="7.69140625" customWidth="1"/>
    <col min="16" max="16" width="8.69140625" style="3" bestFit="1" customWidth="1"/>
  </cols>
  <sheetData>
    <row r="1" spans="1:256" x14ac:dyDescent="0.3">
      <c r="A1" s="8" t="s">
        <v>370</v>
      </c>
      <c r="B1" s="7"/>
      <c r="C1" s="44" t="s">
        <v>128</v>
      </c>
    </row>
    <row r="2" spans="1:256" x14ac:dyDescent="0.3">
      <c r="A2" s="76" t="s">
        <v>168</v>
      </c>
    </row>
    <row r="3" spans="1:256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5.75" customHeight="1" x14ac:dyDescent="0.3">
      <c r="A4" s="30" t="s">
        <v>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56" x14ac:dyDescent="0.3">
      <c r="A5" s="22"/>
      <c r="B5" s="43" t="s">
        <v>126</v>
      </c>
      <c r="C5" s="14">
        <f>P5/$P$7</f>
        <v>0.39466470298668516</v>
      </c>
      <c r="D5" s="15">
        <f>'Areal - Budsjett 2020'!D8</f>
        <v>2493629.7200000002</v>
      </c>
      <c r="E5" s="15">
        <f>'Areal - Budsjett 2020'!E8</f>
        <v>2570730.8699999996</v>
      </c>
      <c r="F5" s="15">
        <f>'Areal - Budsjett 2020'!F8</f>
        <v>2687432.34</v>
      </c>
      <c r="G5" s="15">
        <f>'Areal - Budsjett 2020'!G8</f>
        <v>2103924.9899999998</v>
      </c>
      <c r="H5" s="15">
        <f>'Areal - Budsjett 2020'!H8</f>
        <v>2618622.9300000002</v>
      </c>
      <c r="I5" s="15">
        <f>'Areal - Budsjett 2020'!I8</f>
        <v>2618622.9300000002</v>
      </c>
      <c r="J5" s="15">
        <f>'Areal - Budsjett 2020'!J8</f>
        <v>1435064.7</v>
      </c>
      <c r="K5" s="15">
        <f>'Areal - Budsjett 2020'!K8</f>
        <v>2329308.6959999995</v>
      </c>
      <c r="L5" s="15">
        <f>'Areal - Budsjett 2020'!L8</f>
        <v>3043800.9569999999</v>
      </c>
      <c r="M5" s="15">
        <f>'Areal - Budsjett 2020'!M8</f>
        <v>2701805.4569999995</v>
      </c>
      <c r="N5" s="15">
        <f>'Areal - Budsjett 2020'!N8</f>
        <v>2349741.0764999995</v>
      </c>
      <c r="O5" s="15">
        <f>'Areal - Budsjett 2020'!O8</f>
        <v>2137384.7834999999</v>
      </c>
      <c r="P5" s="15">
        <f>SUM(D5:O5)</f>
        <v>29090069.449999996</v>
      </c>
    </row>
    <row r="6" spans="1:256" x14ac:dyDescent="0.3">
      <c r="A6" s="22"/>
      <c r="B6" s="43" t="s">
        <v>127</v>
      </c>
      <c r="C6" s="14">
        <f>P6/$P$7</f>
        <v>0.6053352970133149</v>
      </c>
      <c r="D6" s="15">
        <f>'Fritzøe - budsj 2020'!D7</f>
        <v>3233136.602</v>
      </c>
      <c r="E6" s="15">
        <f>'Fritzøe - budsj 2020'!E7</f>
        <v>3120695.2774999999</v>
      </c>
      <c r="F6" s="15">
        <f>'Fritzøe - budsj 2020'!F7</f>
        <v>4098939.125</v>
      </c>
      <c r="G6" s="15">
        <f>'Fritzøe - budsj 2020'!G7</f>
        <v>3317342.9775</v>
      </c>
      <c r="H6" s="15">
        <f>'Fritzøe - budsj 2020'!H7</f>
        <v>4199380.6825000001</v>
      </c>
      <c r="I6" s="15">
        <f>'Fritzøe - budsj 2020'!I7</f>
        <v>4357162.5157500003</v>
      </c>
      <c r="J6" s="15">
        <f>'Fritzøe - budsj 2020'!J7</f>
        <v>2199107.4250000003</v>
      </c>
      <c r="K6" s="15">
        <f>'Fritzøe - budsj 2020'!K7</f>
        <v>3710478.9480000003</v>
      </c>
      <c r="L6" s="15">
        <f>'Fritzøe - budsj 2020'!L7</f>
        <v>4978158.5535000013</v>
      </c>
      <c r="M6" s="15">
        <f>'Fritzøe - budsj 2020'!M7</f>
        <v>4695595.7235000012</v>
      </c>
      <c r="N6" s="15">
        <f>'Fritzøe - budsj 2020'!N7</f>
        <v>3505328.9925000002</v>
      </c>
      <c r="O6" s="15">
        <f>'Fritzøe - budsj 2020'!O7</f>
        <v>3202916.7075000005</v>
      </c>
      <c r="P6" s="15">
        <f>SUM(D6:O6)</f>
        <v>44618243.530250005</v>
      </c>
    </row>
    <row r="7" spans="1:256" s="21" customFormat="1" ht="10.3" x14ac:dyDescent="0.25">
      <c r="B7" s="20" t="s">
        <v>36</v>
      </c>
      <c r="C7" s="53">
        <f>P7/$P$7</f>
        <v>1</v>
      </c>
      <c r="D7" s="17">
        <f t="shared" ref="D7:P7" si="0">SUM(D5:D6)</f>
        <v>5726766.3220000006</v>
      </c>
      <c r="E7" s="17">
        <f t="shared" si="0"/>
        <v>5691426.147499999</v>
      </c>
      <c r="F7" s="17">
        <f t="shared" si="0"/>
        <v>6786371.4649999999</v>
      </c>
      <c r="G7" s="17">
        <f t="shared" si="0"/>
        <v>5421267.9674999993</v>
      </c>
      <c r="H7" s="17">
        <f t="shared" si="0"/>
        <v>6818003.6125000007</v>
      </c>
      <c r="I7" s="17">
        <f t="shared" si="0"/>
        <v>6975785.44575</v>
      </c>
      <c r="J7" s="17">
        <f t="shared" si="0"/>
        <v>3634172.125</v>
      </c>
      <c r="K7" s="17">
        <f t="shared" si="0"/>
        <v>6039787.6439999994</v>
      </c>
      <c r="L7" s="17">
        <f t="shared" si="0"/>
        <v>8021959.5105000008</v>
      </c>
      <c r="M7" s="17">
        <f t="shared" si="0"/>
        <v>7397401.1805000007</v>
      </c>
      <c r="N7" s="17">
        <f t="shared" si="0"/>
        <v>5855070.0690000001</v>
      </c>
      <c r="O7" s="17">
        <f t="shared" si="0"/>
        <v>5340301.4910000004</v>
      </c>
      <c r="P7" s="17">
        <f t="shared" si="0"/>
        <v>73708312.980250001</v>
      </c>
      <c r="IV7" s="15">
        <f>SUM(D7:IU7)</f>
        <v>147416625.9605</v>
      </c>
    </row>
    <row r="8" spans="1:256" s="21" customFormat="1" ht="10.3" x14ac:dyDescent="0.25">
      <c r="B8" s="23"/>
      <c r="C8" s="1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IV8" s="15"/>
    </row>
    <row r="9" spans="1:256" x14ac:dyDescent="0.3">
      <c r="A9" s="23" t="s">
        <v>5</v>
      </c>
      <c r="B9" s="21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256" s="7" customFormat="1" x14ac:dyDescent="0.3">
      <c r="A10" s="22"/>
      <c r="B10" s="43" t="s">
        <v>126</v>
      </c>
      <c r="C10" s="57">
        <f>P10/P5</f>
        <v>0.28610291552916556</v>
      </c>
      <c r="D10" s="15">
        <f>'Areal - Budsjett 2020'!D17</f>
        <v>682334.61469090905</v>
      </c>
      <c r="E10" s="15">
        <f>'Areal - Budsjett 2020'!E17</f>
        <v>729332.42919090902</v>
      </c>
      <c r="F10" s="15">
        <f>'Areal - Budsjett 2020'!F17</f>
        <v>756486.78729090898</v>
      </c>
      <c r="G10" s="15">
        <f>'Areal - Budsjett 2020'!G17</f>
        <v>620714.99679090898</v>
      </c>
      <c r="H10" s="15">
        <f>'Areal - Budsjett 2020'!H17</f>
        <v>731592.06299090909</v>
      </c>
      <c r="I10" s="15">
        <f>'Areal - Budsjett 2020'!I17</f>
        <v>731592.06299090909</v>
      </c>
      <c r="J10" s="15">
        <f>'Areal - Budsjett 2020'!J17</f>
        <v>469880.99009090906</v>
      </c>
      <c r="K10" s="15">
        <f>'Areal - Budsjett 2020'!K17</f>
        <v>667618.24517090898</v>
      </c>
      <c r="L10" s="15">
        <f>'Areal - Budsjett 2020'!L17</f>
        <v>835996.19120090909</v>
      </c>
      <c r="M10" s="15">
        <f>'Areal - Budsjett 2020'!M17</f>
        <v>771536.77620090905</v>
      </c>
      <c r="N10" s="15">
        <f>'Areal - Budsjett 2020'!N17</f>
        <v>688021.430685909</v>
      </c>
      <c r="O10" s="15">
        <f>'Areal - Budsjett 2020'!O17</f>
        <v>637647.09529590909</v>
      </c>
      <c r="P10" s="15">
        <f>SUM(D10:O10)</f>
        <v>8322753.6825909084</v>
      </c>
    </row>
    <row r="11" spans="1:256" s="7" customFormat="1" x14ac:dyDescent="0.3">
      <c r="A11" s="22"/>
      <c r="B11" s="43" t="s">
        <v>127</v>
      </c>
      <c r="C11" s="57">
        <f>P11/P6</f>
        <v>0.44417134863944291</v>
      </c>
      <c r="D11" s="15">
        <f>'Fritzøe - budsj 2020'!D29</f>
        <v>1252160.8152542375</v>
      </c>
      <c r="E11" s="15">
        <f>'Fritzøe - budsj 2020'!E29</f>
        <v>1218348.4978813562</v>
      </c>
      <c r="F11" s="15">
        <f>'Fritzøe - budsj 2020'!F29</f>
        <v>1612899.6822033899</v>
      </c>
      <c r="G11" s="15">
        <f>'Fritzøe - budsj 2020'!G29</f>
        <v>1531326.2097457629</v>
      </c>
      <c r="H11" s="15">
        <f>'Fritzøe - budsj 2020'!H29</f>
        <v>2215408.0783898309</v>
      </c>
      <c r="I11" s="15">
        <f>'Fritzøe - budsj 2020'!I29</f>
        <v>1829011.1447033901</v>
      </c>
      <c r="J11" s="15">
        <f>'Fritzøe - budsj 2020'!J29</f>
        <v>1013138.9194915255</v>
      </c>
      <c r="K11" s="15">
        <f>'Fritzøe - budsj 2020'!K29</f>
        <v>1564546.4305084748</v>
      </c>
      <c r="L11" s="15">
        <f>'Fritzøe - budsj 2020'!L29</f>
        <v>2005751.341949153</v>
      </c>
      <c r="M11" s="15">
        <f>'Fritzøe - budsj 2020'!M29</f>
        <v>2040781.6555084749</v>
      </c>
      <c r="N11" s="15">
        <f>'Fritzøe - budsj 2020'!N29</f>
        <v>1842855.6292372881</v>
      </c>
      <c r="O11" s="15">
        <f>'Fritzøe - budsj 2020'!O29</f>
        <v>1691916.9978813562</v>
      </c>
      <c r="P11" s="15">
        <f>SUM(D11:O11)</f>
        <v>19818145.402754243</v>
      </c>
    </row>
    <row r="12" spans="1:256" x14ac:dyDescent="0.3">
      <c r="B12" s="20" t="s">
        <v>119</v>
      </c>
      <c r="C12" s="56">
        <f>P12/P7</f>
        <v>0.38178731743440458</v>
      </c>
      <c r="D12" s="17">
        <f t="shared" ref="D12:P12" si="1">SUM(D10:D11)</f>
        <v>1934495.4299451467</v>
      </c>
      <c r="E12" s="17">
        <f t="shared" si="1"/>
        <v>1947680.9270722652</v>
      </c>
      <c r="F12" s="17">
        <f t="shared" si="1"/>
        <v>2369386.469494299</v>
      </c>
      <c r="G12" s="17">
        <f t="shared" si="1"/>
        <v>2152041.2065366721</v>
      </c>
      <c r="H12" s="17">
        <f t="shared" si="1"/>
        <v>2947000.1413807399</v>
      </c>
      <c r="I12" s="17">
        <f t="shared" si="1"/>
        <v>2560603.2076942991</v>
      </c>
      <c r="J12" s="17">
        <f t="shared" si="1"/>
        <v>1483019.9095824347</v>
      </c>
      <c r="K12" s="17">
        <f t="shared" si="1"/>
        <v>2232164.6756793838</v>
      </c>
      <c r="L12" s="17">
        <f t="shared" si="1"/>
        <v>2841747.533150062</v>
      </c>
      <c r="M12" s="17">
        <f t="shared" si="1"/>
        <v>2812318.4317093841</v>
      </c>
      <c r="N12" s="17">
        <f t="shared" si="1"/>
        <v>2530877.0599231971</v>
      </c>
      <c r="O12" s="17">
        <f t="shared" si="1"/>
        <v>2329564.0931772655</v>
      </c>
      <c r="P12" s="17">
        <f t="shared" si="1"/>
        <v>28140899.085345153</v>
      </c>
    </row>
    <row r="13" spans="1:256" x14ac:dyDescent="0.3">
      <c r="A13" s="22"/>
      <c r="B13" s="21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256" x14ac:dyDescent="0.3">
      <c r="A14" s="23" t="s">
        <v>6</v>
      </c>
      <c r="B14" s="21"/>
      <c r="C14" s="18">
        <f>P14/$P$7</f>
        <v>0.61821268256559547</v>
      </c>
      <c r="D14" s="16">
        <f t="shared" ref="D14:O14" si="2">D7-D12</f>
        <v>3792270.892054854</v>
      </c>
      <c r="E14" s="16">
        <f t="shared" si="2"/>
        <v>3743745.2204277338</v>
      </c>
      <c r="F14" s="16">
        <f t="shared" si="2"/>
        <v>4416984.9955057008</v>
      </c>
      <c r="G14" s="16">
        <f t="shared" si="2"/>
        <v>3269226.7609633273</v>
      </c>
      <c r="H14" s="16">
        <f t="shared" si="2"/>
        <v>3871003.4711192609</v>
      </c>
      <c r="I14" s="16">
        <f t="shared" si="2"/>
        <v>4415182.2380557004</v>
      </c>
      <c r="J14" s="16">
        <f t="shared" si="2"/>
        <v>2151152.2154175653</v>
      </c>
      <c r="K14" s="16">
        <f t="shared" si="2"/>
        <v>3807622.9683206156</v>
      </c>
      <c r="L14" s="16">
        <f t="shared" si="2"/>
        <v>5180211.9773499388</v>
      </c>
      <c r="M14" s="16">
        <f t="shared" si="2"/>
        <v>4585082.7487906162</v>
      </c>
      <c r="N14" s="16">
        <f t="shared" si="2"/>
        <v>3324193.009076803</v>
      </c>
      <c r="O14" s="16">
        <f t="shared" si="2"/>
        <v>3010737.3978227349</v>
      </c>
      <c r="P14" s="16">
        <f>SUM(D14:O14)</f>
        <v>45567413.894904852</v>
      </c>
    </row>
    <row r="15" spans="1:256" x14ac:dyDescent="0.3">
      <c r="A15" s="22"/>
      <c r="B15" s="21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256" x14ac:dyDescent="0.3">
      <c r="A16" s="23" t="s">
        <v>41</v>
      </c>
      <c r="B16" s="21"/>
      <c r="C16" s="14"/>
      <c r="D16" s="15"/>
      <c r="E16" s="15"/>
      <c r="F16" s="15"/>
      <c r="G16" s="15"/>
      <c r="H16" s="52"/>
      <c r="I16" s="15"/>
      <c r="J16" s="15"/>
      <c r="K16" s="15"/>
      <c r="L16" s="15"/>
      <c r="M16" s="15"/>
      <c r="N16" s="15"/>
      <c r="O16" s="15"/>
      <c r="P16" s="15"/>
    </row>
    <row r="17" spans="1:16" x14ac:dyDescent="0.3">
      <c r="A17" s="22"/>
      <c r="B17" s="43" t="s">
        <v>126</v>
      </c>
      <c r="C17" s="14">
        <f>P17/$P$5</f>
        <v>0.52279768289768669</v>
      </c>
      <c r="D17" s="15">
        <f>'Areal - Budsjett 2020'!D37</f>
        <v>1243386.2123557583</v>
      </c>
      <c r="E17" s="15">
        <f>'Areal - Budsjett 2020'!E37</f>
        <v>1238277.0833729231</v>
      </c>
      <c r="F17" s="15">
        <f>'Areal - Budsjett 2020'!F37</f>
        <v>1358904.7917102154</v>
      </c>
      <c r="G17" s="15">
        <f>'Areal - Budsjett 2020'!G37</f>
        <v>1277759.8565745729</v>
      </c>
      <c r="H17" s="15">
        <f>'Areal - Budsjett 2020'!H37</f>
        <v>1462293.1708609094</v>
      </c>
      <c r="I17" s="15">
        <f>'Areal - Budsjett 2020'!I37</f>
        <v>1394164.7201916517</v>
      </c>
      <c r="J17" s="15">
        <f>'Areal - Budsjett 2020'!J37</f>
        <v>713071.72080126056</v>
      </c>
      <c r="K17" s="15">
        <f>'Areal - Budsjett 2020'!K37</f>
        <v>1121714.7532820171</v>
      </c>
      <c r="L17" s="15">
        <f>'Areal - Budsjett 2020'!L37</f>
        <v>1487425.3237419734</v>
      </c>
      <c r="M17" s="15">
        <f>'Areal - Budsjett 2020'!M37</f>
        <v>1365067.806982693</v>
      </c>
      <c r="N17" s="15">
        <f>'Areal - Budsjett 2020'!N37</f>
        <v>1304473.8157562073</v>
      </c>
      <c r="O17" s="15">
        <f>'Areal - Budsjett 2020'!O37</f>
        <v>1241681.6481625983</v>
      </c>
      <c r="P17" s="15">
        <f t="shared" ref="P17:P28" si="3">SUM(D17:O17)</f>
        <v>15208220.90379278</v>
      </c>
    </row>
    <row r="18" spans="1:16" x14ac:dyDescent="0.3">
      <c r="A18" s="22"/>
      <c r="B18" s="43" t="s">
        <v>127</v>
      </c>
      <c r="C18" s="14">
        <f>P18/$P$6</f>
        <v>0.42317060996858769</v>
      </c>
      <c r="D18" s="15">
        <f>'Fritzøe - budsj 2020'!D54</f>
        <v>1612014.7536928428</v>
      </c>
      <c r="E18" s="15">
        <f>'Fritzøe - budsj 2020'!E54</f>
        <v>1474627.7850611692</v>
      </c>
      <c r="F18" s="15">
        <f>'Fritzøe - budsj 2020'!F54</f>
        <v>1685530.9333869661</v>
      </c>
      <c r="G18" s="15">
        <f>'Fritzøe - budsj 2020'!G54</f>
        <v>1566400.9610591284</v>
      </c>
      <c r="H18" s="15">
        <f>'Fritzøe - budsj 2020'!H54</f>
        <v>1770980.5997653229</v>
      </c>
      <c r="I18" s="15">
        <f>'Fritzøe - budsj 2020'!I54</f>
        <v>1708233.1712742676</v>
      </c>
      <c r="J18" s="15">
        <f>'Fritzøe - budsj 2020'!J54</f>
        <v>914278.61874080624</v>
      </c>
      <c r="K18" s="15">
        <f>'Fritzøe - budsj 2020'!K54</f>
        <v>1392302.0237726816</v>
      </c>
      <c r="L18" s="15">
        <f>'Fritzøe - budsj 2020'!L54</f>
        <v>1894961.0026874377</v>
      </c>
      <c r="M18" s="15">
        <f>'Fritzøe - budsj 2020'!M54</f>
        <v>1814510.4567261576</v>
      </c>
      <c r="N18" s="15">
        <f>'Fritzøe - budsj 2020'!N54</f>
        <v>1563019.5924158215</v>
      </c>
      <c r="O18" s="15">
        <f>'Fritzøe - budsj 2020'!O54</f>
        <v>1484269.4318402875</v>
      </c>
      <c r="P18" s="15">
        <f t="shared" si="3"/>
        <v>18881129.330422886</v>
      </c>
    </row>
    <row r="19" spans="1:16" x14ac:dyDescent="0.3">
      <c r="A19" s="23"/>
      <c r="B19" s="20" t="s">
        <v>40</v>
      </c>
      <c r="C19" s="56">
        <f>P19/$P$7</f>
        <v>0.4624898991155833</v>
      </c>
      <c r="D19" s="17">
        <f t="shared" ref="D19:P19" si="4">SUM(D17:D18)</f>
        <v>2855400.9660486011</v>
      </c>
      <c r="E19" s="17">
        <f t="shared" si="4"/>
        <v>2712904.868434092</v>
      </c>
      <c r="F19" s="17">
        <f t="shared" si="4"/>
        <v>3044435.7250971813</v>
      </c>
      <c r="G19" s="17">
        <f t="shared" si="4"/>
        <v>2844160.8176337015</v>
      </c>
      <c r="H19" s="17">
        <f t="shared" si="4"/>
        <v>3233273.770626232</v>
      </c>
      <c r="I19" s="17">
        <f t="shared" si="4"/>
        <v>3102397.8914659191</v>
      </c>
      <c r="J19" s="17">
        <f t="shared" si="4"/>
        <v>1627350.3395420667</v>
      </c>
      <c r="K19" s="17">
        <f t="shared" si="4"/>
        <v>2514016.7770546987</v>
      </c>
      <c r="L19" s="17">
        <f t="shared" si="4"/>
        <v>3382386.3264294108</v>
      </c>
      <c r="M19" s="17">
        <f t="shared" si="4"/>
        <v>3179578.2637088504</v>
      </c>
      <c r="N19" s="17">
        <f t="shared" si="4"/>
        <v>2867493.4081720291</v>
      </c>
      <c r="O19" s="17">
        <f t="shared" si="4"/>
        <v>2725951.0800028858</v>
      </c>
      <c r="P19" s="17">
        <f t="shared" si="4"/>
        <v>34089350.234215662</v>
      </c>
    </row>
    <row r="20" spans="1:16" x14ac:dyDescent="0.3">
      <c r="A20" s="22"/>
      <c r="B20" s="21"/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3">
      <c r="A21" s="23" t="s">
        <v>9</v>
      </c>
      <c r="B21" s="21"/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3">
      <c r="A22" s="23"/>
      <c r="B22" s="43" t="s">
        <v>126</v>
      </c>
      <c r="C22" s="14">
        <f>P22/$P$5</f>
        <v>7.2189583583135803E-3</v>
      </c>
      <c r="D22" s="15">
        <f>'Areal - Budsjett 2020'!D43</f>
        <v>17500</v>
      </c>
      <c r="E22" s="15">
        <f>'Areal - Budsjett 2020'!E43</f>
        <v>17500</v>
      </c>
      <c r="F22" s="15">
        <f>'Areal - Budsjett 2020'!F43</f>
        <v>17500</v>
      </c>
      <c r="G22" s="15">
        <f>'Areal - Budsjett 2020'!G43</f>
        <v>17500</v>
      </c>
      <c r="H22" s="15">
        <f>'Areal - Budsjett 2020'!H43</f>
        <v>17500</v>
      </c>
      <c r="I22" s="15">
        <f>'Areal - Budsjett 2020'!I43</f>
        <v>17500</v>
      </c>
      <c r="J22" s="15">
        <f>'Areal - Budsjett 2020'!J43</f>
        <v>17500</v>
      </c>
      <c r="K22" s="15">
        <f>'Areal - Budsjett 2020'!K43</f>
        <v>17500</v>
      </c>
      <c r="L22" s="15">
        <f>'Areal - Budsjett 2020'!L43</f>
        <v>17500</v>
      </c>
      <c r="M22" s="15">
        <f>'Areal - Budsjett 2020'!M43</f>
        <v>17500</v>
      </c>
      <c r="N22" s="15">
        <f>'Areal - Budsjett 2020'!N43</f>
        <v>17500</v>
      </c>
      <c r="O22" s="15">
        <f>'Areal - Budsjett 2020'!O43</f>
        <v>17500</v>
      </c>
      <c r="P22" s="15">
        <f t="shared" si="3"/>
        <v>210000</v>
      </c>
    </row>
    <row r="23" spans="1:16" x14ac:dyDescent="0.3">
      <c r="A23" s="23"/>
      <c r="B23" s="43" t="s">
        <v>127</v>
      </c>
      <c r="C23" s="14">
        <f>P23/$P$6</f>
        <v>5.3789656654073858E-3</v>
      </c>
      <c r="D23" s="15">
        <f>'Fritzøe - budsj 2020'!D60</f>
        <v>20000</v>
      </c>
      <c r="E23" s="15">
        <f>'Fritzøe - budsj 2020'!E60</f>
        <v>20000</v>
      </c>
      <c r="F23" s="15">
        <f>'Fritzøe - budsj 2020'!F60</f>
        <v>20000</v>
      </c>
      <c r="G23" s="15">
        <f>'Fritzøe - budsj 2020'!G60</f>
        <v>20000</v>
      </c>
      <c r="H23" s="15">
        <f>'Fritzøe - budsj 2020'!H60</f>
        <v>20000</v>
      </c>
      <c r="I23" s="15">
        <f>'Fritzøe - budsj 2020'!I60</f>
        <v>20000</v>
      </c>
      <c r="J23" s="15">
        <f>'Fritzøe - budsj 2020'!J60</f>
        <v>20000</v>
      </c>
      <c r="K23" s="15">
        <f>'Fritzøe - budsj 2020'!K60</f>
        <v>20000</v>
      </c>
      <c r="L23" s="15">
        <f>'Fritzøe - budsj 2020'!L60</f>
        <v>20000</v>
      </c>
      <c r="M23" s="15">
        <f>'Fritzøe - budsj 2020'!M60</f>
        <v>20000</v>
      </c>
      <c r="N23" s="15">
        <f>'Fritzøe - budsj 2020'!N60</f>
        <v>20000</v>
      </c>
      <c r="O23" s="15">
        <f>'Fritzøe - budsj 2020'!O60</f>
        <v>20000</v>
      </c>
      <c r="P23" s="15">
        <f t="shared" si="3"/>
        <v>240000</v>
      </c>
    </row>
    <row r="24" spans="1:16" x14ac:dyDescent="0.3">
      <c r="A24" s="23"/>
      <c r="B24" s="20" t="s">
        <v>37</v>
      </c>
      <c r="C24" s="56">
        <f>P24/$P$7</f>
        <v>6.1051458350508802E-3</v>
      </c>
      <c r="D24" s="17">
        <f t="shared" ref="D24:P24" si="5">SUM(D22:D23)</f>
        <v>37500</v>
      </c>
      <c r="E24" s="17">
        <f t="shared" si="5"/>
        <v>37500</v>
      </c>
      <c r="F24" s="17">
        <f t="shared" si="5"/>
        <v>37500</v>
      </c>
      <c r="G24" s="17">
        <f t="shared" si="5"/>
        <v>37500</v>
      </c>
      <c r="H24" s="17">
        <f t="shared" si="5"/>
        <v>37500</v>
      </c>
      <c r="I24" s="17">
        <f t="shared" si="5"/>
        <v>37500</v>
      </c>
      <c r="J24" s="17">
        <f t="shared" si="5"/>
        <v>37500</v>
      </c>
      <c r="K24" s="17">
        <f t="shared" si="5"/>
        <v>37500</v>
      </c>
      <c r="L24" s="17">
        <f t="shared" si="5"/>
        <v>37500</v>
      </c>
      <c r="M24" s="17">
        <f t="shared" si="5"/>
        <v>37500</v>
      </c>
      <c r="N24" s="17">
        <f t="shared" si="5"/>
        <v>37500</v>
      </c>
      <c r="O24" s="17">
        <f t="shared" si="5"/>
        <v>37500</v>
      </c>
      <c r="P24" s="17">
        <f t="shared" si="5"/>
        <v>450000</v>
      </c>
    </row>
    <row r="25" spans="1:16" x14ac:dyDescent="0.3">
      <c r="A25" s="22"/>
      <c r="B25" s="21"/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3">
      <c r="A26" s="23" t="s">
        <v>10</v>
      </c>
      <c r="B26" s="21"/>
      <c r="C26" s="1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s="7" customFormat="1" x14ac:dyDescent="0.3">
      <c r="A27" s="22"/>
      <c r="B27" s="43" t="s">
        <v>126</v>
      </c>
      <c r="C27" s="14">
        <f>P27/$P$5</f>
        <v>1.965396476562898E-2</v>
      </c>
      <c r="D27" s="15">
        <f>'Areal - Budsjett 2020'!D52</f>
        <v>49144.600000000006</v>
      </c>
      <c r="E27" s="15">
        <f>'Areal - Budsjett 2020'!E52</f>
        <v>49144.600000000006</v>
      </c>
      <c r="F27" s="15">
        <f>'Areal - Budsjett 2020'!F52</f>
        <v>49144.600000000006</v>
      </c>
      <c r="G27" s="15">
        <f>'Areal - Budsjett 2020'!G52</f>
        <v>49144.600000000006</v>
      </c>
      <c r="H27" s="15">
        <f>'Areal - Budsjett 2020'!H52</f>
        <v>49144.600000000006</v>
      </c>
      <c r="I27" s="15">
        <f>'Areal - Budsjett 2020'!I52</f>
        <v>49144.600000000006</v>
      </c>
      <c r="J27" s="15">
        <f>'Areal - Budsjett 2020'!J52</f>
        <v>46144.600000000006</v>
      </c>
      <c r="K27" s="15">
        <f>'Areal - Budsjett 2020'!K52</f>
        <v>46144.600000000006</v>
      </c>
      <c r="L27" s="15">
        <f>'Areal - Budsjett 2020'!L52</f>
        <v>46144.600000000006</v>
      </c>
      <c r="M27" s="15">
        <f>'Areal - Budsjett 2020'!M52</f>
        <v>46144.600000000006</v>
      </c>
      <c r="N27" s="15">
        <f>'Areal - Budsjett 2020'!N52</f>
        <v>46144.600000000006</v>
      </c>
      <c r="O27" s="15">
        <f>'Areal - Budsjett 2020'!O52</f>
        <v>46144.600000000006</v>
      </c>
      <c r="P27" s="15">
        <f t="shared" si="3"/>
        <v>571735.19999999995</v>
      </c>
    </row>
    <row r="28" spans="1:16" ht="12" customHeight="1" x14ac:dyDescent="0.3">
      <c r="A28" s="22"/>
      <c r="B28" s="43" t="s">
        <v>127</v>
      </c>
      <c r="C28" s="14">
        <f>P28/$P$6</f>
        <v>8.8701833305400487E-3</v>
      </c>
      <c r="D28" s="15">
        <f>'Fritzøe - budsj 2020'!D70</f>
        <v>34481</v>
      </c>
      <c r="E28" s="15">
        <f>'Fritzøe - budsj 2020'!E70</f>
        <v>34481</v>
      </c>
      <c r="F28" s="15">
        <f>'Fritzøe - budsj 2020'!F70</f>
        <v>34481</v>
      </c>
      <c r="G28" s="15">
        <f>'Fritzøe - budsj 2020'!G70</f>
        <v>34481</v>
      </c>
      <c r="H28" s="15">
        <f>'Fritzøe - budsj 2020'!H70</f>
        <v>34481</v>
      </c>
      <c r="I28" s="15">
        <f>'Fritzøe - budsj 2020'!I70</f>
        <v>34481</v>
      </c>
      <c r="J28" s="15">
        <f>'Fritzøe - budsj 2020'!J70</f>
        <v>31481</v>
      </c>
      <c r="K28" s="15">
        <f>'Fritzøe - budsj 2020'!K70</f>
        <v>31481</v>
      </c>
      <c r="L28" s="15">
        <f>'Fritzøe - budsj 2020'!L70</f>
        <v>31481</v>
      </c>
      <c r="M28" s="15">
        <f>'Fritzøe - budsj 2020'!M70</f>
        <v>31481</v>
      </c>
      <c r="N28" s="15">
        <f>'Fritzøe - budsj 2020'!N70</f>
        <v>31481</v>
      </c>
      <c r="O28" s="15">
        <f>'Fritzøe - budsj 2020'!O70</f>
        <v>31481</v>
      </c>
      <c r="P28" s="15">
        <f t="shared" si="3"/>
        <v>395772</v>
      </c>
    </row>
    <row r="29" spans="1:16" x14ac:dyDescent="0.3">
      <c r="A29" s="23"/>
      <c r="B29" s="20" t="s">
        <v>38</v>
      </c>
      <c r="C29" s="56">
        <f>P29/$P$7</f>
        <v>1.3126161227692753E-2</v>
      </c>
      <c r="D29" s="17">
        <f t="shared" ref="D29:P29" si="6">SUM(D27:D28)</f>
        <v>83625.600000000006</v>
      </c>
      <c r="E29" s="17">
        <f t="shared" si="6"/>
        <v>83625.600000000006</v>
      </c>
      <c r="F29" s="17">
        <f t="shared" si="6"/>
        <v>83625.600000000006</v>
      </c>
      <c r="G29" s="17">
        <f t="shared" si="6"/>
        <v>83625.600000000006</v>
      </c>
      <c r="H29" s="17">
        <f t="shared" si="6"/>
        <v>83625.600000000006</v>
      </c>
      <c r="I29" s="17">
        <f t="shared" si="6"/>
        <v>83625.600000000006</v>
      </c>
      <c r="J29" s="17">
        <f t="shared" si="6"/>
        <v>77625.600000000006</v>
      </c>
      <c r="K29" s="17">
        <f t="shared" si="6"/>
        <v>77625.600000000006</v>
      </c>
      <c r="L29" s="17">
        <f t="shared" si="6"/>
        <v>77625.600000000006</v>
      </c>
      <c r="M29" s="17">
        <f t="shared" si="6"/>
        <v>77625.600000000006</v>
      </c>
      <c r="N29" s="17">
        <f t="shared" si="6"/>
        <v>77625.600000000006</v>
      </c>
      <c r="O29" s="17">
        <f t="shared" si="6"/>
        <v>77625.600000000006</v>
      </c>
      <c r="P29" s="17">
        <f t="shared" si="6"/>
        <v>967507.2</v>
      </c>
    </row>
    <row r="30" spans="1:16" x14ac:dyDescent="0.3">
      <c r="A30" s="23"/>
      <c r="B30" s="23"/>
      <c r="C30" s="14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x14ac:dyDescent="0.3">
      <c r="A31" s="23" t="s">
        <v>74</v>
      </c>
      <c r="B31" s="21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x14ac:dyDescent="0.3">
      <c r="A32" s="22"/>
      <c r="B32" s="43" t="s">
        <v>126</v>
      </c>
      <c r="C32" s="14">
        <f>P32/$P$5</f>
        <v>1.5240114870196711E-2</v>
      </c>
      <c r="D32" s="15">
        <f>'Areal - Budsjett 2020'!D65</f>
        <v>37536</v>
      </c>
      <c r="E32" s="15">
        <f>'Areal - Budsjett 2020'!E65</f>
        <v>37536</v>
      </c>
      <c r="F32" s="15">
        <f>'Areal - Budsjett 2020'!F65</f>
        <v>37536</v>
      </c>
      <c r="G32" s="15">
        <f>'Areal - Budsjett 2020'!G65</f>
        <v>37536</v>
      </c>
      <c r="H32" s="15">
        <f>'Areal - Budsjett 2020'!H65</f>
        <v>37536</v>
      </c>
      <c r="I32" s="15">
        <f>'Areal - Budsjett 2020'!I65</f>
        <v>37536</v>
      </c>
      <c r="J32" s="15">
        <f>'Areal - Budsjett 2020'!J65</f>
        <v>37536</v>
      </c>
      <c r="K32" s="15">
        <f>'Areal - Budsjett 2020'!K65</f>
        <v>37536</v>
      </c>
      <c r="L32" s="15">
        <f>'Areal - Budsjett 2020'!L65</f>
        <v>31412</v>
      </c>
      <c r="M32" s="15">
        <f>'Areal - Budsjett 2020'!M65</f>
        <v>37212</v>
      </c>
      <c r="N32" s="15">
        <f>'Areal - Budsjett 2020'!N65</f>
        <v>37212</v>
      </c>
      <c r="O32" s="15">
        <f>'Areal - Budsjett 2020'!O65</f>
        <v>37212</v>
      </c>
      <c r="P32" s="15">
        <f>SUM(D32:O32)</f>
        <v>443336</v>
      </c>
    </row>
    <row r="33" spans="1:16" x14ac:dyDescent="0.3">
      <c r="A33" s="22"/>
      <c r="B33" s="43" t="s">
        <v>127</v>
      </c>
      <c r="C33" s="14">
        <f>P33/$P$6</f>
        <v>8.161773552405896E-3</v>
      </c>
      <c r="D33" s="15">
        <f>'Fritzøe - budsj 2020'!D79</f>
        <v>30347</v>
      </c>
      <c r="E33" s="15">
        <f>'Fritzøe - budsj 2020'!E79</f>
        <v>30347</v>
      </c>
      <c r="F33" s="15">
        <f>'Fritzøe - budsj 2020'!F79</f>
        <v>30347</v>
      </c>
      <c r="G33" s="15">
        <f>'Fritzøe - budsj 2020'!G79</f>
        <v>30347</v>
      </c>
      <c r="H33" s="15">
        <f>'Fritzøe - budsj 2020'!H79</f>
        <v>30347</v>
      </c>
      <c r="I33" s="15">
        <f>'Fritzøe - budsj 2020'!I79</f>
        <v>30347</v>
      </c>
      <c r="J33" s="15">
        <f>'Fritzøe - budsj 2020'!J79</f>
        <v>30347</v>
      </c>
      <c r="K33" s="15">
        <f>'Fritzøe - budsj 2020'!K79</f>
        <v>30347</v>
      </c>
      <c r="L33" s="15">
        <f>'Fritzøe - budsj 2020'!L79</f>
        <v>30347</v>
      </c>
      <c r="M33" s="15">
        <f>'Fritzøe - budsj 2020'!M79</f>
        <v>30347</v>
      </c>
      <c r="N33" s="15">
        <f>'Fritzøe - budsj 2020'!N79</f>
        <v>30347</v>
      </c>
      <c r="O33" s="15">
        <f>'Fritzøe - budsj 2020'!O79</f>
        <v>30347</v>
      </c>
      <c r="P33" s="15">
        <f>SUM(D33:O33)</f>
        <v>364164</v>
      </c>
    </row>
    <row r="34" spans="1:16" x14ac:dyDescent="0.3">
      <c r="A34" s="23"/>
      <c r="B34" s="20" t="s">
        <v>75</v>
      </c>
      <c r="C34" s="26">
        <f>P34/$P$7</f>
        <v>1.095534502623019E-2</v>
      </c>
      <c r="D34" s="17">
        <f t="shared" ref="D34:P34" si="7">SUM(D32:D33)</f>
        <v>67883</v>
      </c>
      <c r="E34" s="17">
        <f t="shared" si="7"/>
        <v>67883</v>
      </c>
      <c r="F34" s="17">
        <f t="shared" si="7"/>
        <v>67883</v>
      </c>
      <c r="G34" s="17">
        <f t="shared" si="7"/>
        <v>67883</v>
      </c>
      <c r="H34" s="17">
        <f t="shared" si="7"/>
        <v>67883</v>
      </c>
      <c r="I34" s="17">
        <f t="shared" si="7"/>
        <v>67883</v>
      </c>
      <c r="J34" s="17">
        <f t="shared" si="7"/>
        <v>67883</v>
      </c>
      <c r="K34" s="17">
        <f t="shared" si="7"/>
        <v>67883</v>
      </c>
      <c r="L34" s="17">
        <f t="shared" si="7"/>
        <v>61759</v>
      </c>
      <c r="M34" s="17">
        <f t="shared" si="7"/>
        <v>67559</v>
      </c>
      <c r="N34" s="17">
        <f t="shared" si="7"/>
        <v>67559</v>
      </c>
      <c r="O34" s="17">
        <f t="shared" si="7"/>
        <v>67559</v>
      </c>
      <c r="P34" s="17">
        <f t="shared" si="7"/>
        <v>807500</v>
      </c>
    </row>
    <row r="35" spans="1:16" x14ac:dyDescent="0.3">
      <c r="A35" s="23"/>
      <c r="B35" s="23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x14ac:dyDescent="0.3">
      <c r="A36" s="23" t="s">
        <v>76</v>
      </c>
      <c r="B36" s="21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3">
      <c r="A37" s="22"/>
      <c r="B37" s="43" t="s">
        <v>126</v>
      </c>
      <c r="C37" s="14">
        <f>P37/$P$5</f>
        <v>1.3406636951153792E-2</v>
      </c>
      <c r="D37" s="15">
        <f>'Areal - Budsjett 2020'!D73</f>
        <v>32500</v>
      </c>
      <c r="E37" s="15">
        <f>'Areal - Budsjett 2020'!E73</f>
        <v>32500</v>
      </c>
      <c r="F37" s="15">
        <f>'Areal - Budsjett 2020'!F73</f>
        <v>32500</v>
      </c>
      <c r="G37" s="15">
        <f>'Areal - Budsjett 2020'!G73</f>
        <v>32500</v>
      </c>
      <c r="H37" s="15">
        <f>'Areal - Budsjett 2020'!H73</f>
        <v>32500</v>
      </c>
      <c r="I37" s="15">
        <f>'Areal - Budsjett 2020'!I73</f>
        <v>32500</v>
      </c>
      <c r="J37" s="15">
        <f>'Areal - Budsjett 2020'!J73</f>
        <v>32500</v>
      </c>
      <c r="K37" s="15">
        <f>'Areal - Budsjett 2020'!K73</f>
        <v>32500</v>
      </c>
      <c r="L37" s="15">
        <f>'Areal - Budsjett 2020'!L73</f>
        <v>32500</v>
      </c>
      <c r="M37" s="15">
        <f>'Areal - Budsjett 2020'!M73</f>
        <v>32500</v>
      </c>
      <c r="N37" s="15">
        <f>'Areal - Budsjett 2020'!N73</f>
        <v>32500</v>
      </c>
      <c r="O37" s="15">
        <f>'Areal - Budsjett 2020'!O73</f>
        <v>32500</v>
      </c>
      <c r="P37" s="15">
        <f>SUM(D37:O37)</f>
        <v>390000</v>
      </c>
    </row>
    <row r="38" spans="1:16" x14ac:dyDescent="0.3">
      <c r="A38" s="22"/>
      <c r="B38" s="43" t="s">
        <v>127</v>
      </c>
      <c r="C38" s="14">
        <f>P38/$P$6</f>
        <v>1.4254259013329572E-2</v>
      </c>
      <c r="D38" s="15">
        <f>'Fritzøe - budsj 2020'!D88</f>
        <v>53000</v>
      </c>
      <c r="E38" s="15">
        <f>'Fritzøe - budsj 2020'!E88</f>
        <v>53000</v>
      </c>
      <c r="F38" s="15">
        <f>'Fritzøe - budsj 2020'!F88</f>
        <v>53000</v>
      </c>
      <c r="G38" s="15">
        <f>'Fritzøe - budsj 2020'!G88</f>
        <v>53000</v>
      </c>
      <c r="H38" s="15">
        <f>'Fritzøe - budsj 2020'!H88</f>
        <v>53000</v>
      </c>
      <c r="I38" s="15">
        <f>'Fritzøe - budsj 2020'!I88</f>
        <v>53000</v>
      </c>
      <c r="J38" s="15">
        <f>'Fritzøe - budsj 2020'!J88</f>
        <v>53000</v>
      </c>
      <c r="K38" s="15">
        <f>'Fritzøe - budsj 2020'!K88</f>
        <v>53000</v>
      </c>
      <c r="L38" s="15">
        <f>'Fritzøe - budsj 2020'!L88</f>
        <v>53000</v>
      </c>
      <c r="M38" s="15">
        <f>'Fritzøe - budsj 2020'!M88</f>
        <v>53000</v>
      </c>
      <c r="N38" s="15">
        <f>'Fritzøe - budsj 2020'!N88</f>
        <v>53000</v>
      </c>
      <c r="O38" s="15">
        <f>'Fritzøe - budsj 2020'!O88</f>
        <v>53000</v>
      </c>
      <c r="P38" s="15">
        <f>SUM(D38:O38)</f>
        <v>636000</v>
      </c>
    </row>
    <row r="39" spans="1:16" x14ac:dyDescent="0.3">
      <c r="A39" s="23"/>
      <c r="B39" s="20" t="s">
        <v>77</v>
      </c>
      <c r="C39" s="26">
        <f>P39/$P$7</f>
        <v>1.3919732503916007E-2</v>
      </c>
      <c r="D39" s="17">
        <f t="shared" ref="D39:P39" si="8">SUM(D37:D38)</f>
        <v>85500</v>
      </c>
      <c r="E39" s="17">
        <f t="shared" si="8"/>
        <v>85500</v>
      </c>
      <c r="F39" s="17">
        <f t="shared" si="8"/>
        <v>85500</v>
      </c>
      <c r="G39" s="17">
        <f t="shared" si="8"/>
        <v>85500</v>
      </c>
      <c r="H39" s="17">
        <f t="shared" si="8"/>
        <v>85500</v>
      </c>
      <c r="I39" s="17">
        <f t="shared" si="8"/>
        <v>85500</v>
      </c>
      <c r="J39" s="17">
        <f t="shared" si="8"/>
        <v>85500</v>
      </c>
      <c r="K39" s="17">
        <f t="shared" si="8"/>
        <v>85500</v>
      </c>
      <c r="L39" s="17">
        <f t="shared" si="8"/>
        <v>85500</v>
      </c>
      <c r="M39" s="17">
        <f t="shared" si="8"/>
        <v>85500</v>
      </c>
      <c r="N39" s="17">
        <f t="shared" si="8"/>
        <v>85500</v>
      </c>
      <c r="O39" s="17">
        <f t="shared" si="8"/>
        <v>85500</v>
      </c>
      <c r="P39" s="17">
        <f t="shared" si="8"/>
        <v>1026000</v>
      </c>
    </row>
    <row r="40" spans="1:16" x14ac:dyDescent="0.3">
      <c r="A40" s="23"/>
      <c r="B40" s="23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x14ac:dyDescent="0.3">
      <c r="A41" s="23" t="s">
        <v>80</v>
      </c>
      <c r="B41" s="21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3">
      <c r="A42" s="23"/>
      <c r="B42" s="43" t="s">
        <v>126</v>
      </c>
      <c r="C42" s="14">
        <f>P42/$P$5</f>
        <v>8.2502381237869484E-4</v>
      </c>
      <c r="D42" s="15">
        <f>'Areal - Budsjett 2020'!D77</f>
        <v>2000</v>
      </c>
      <c r="E42" s="15">
        <f>'Areal - Budsjett 2020'!E77</f>
        <v>2000</v>
      </c>
      <c r="F42" s="15">
        <f>'Areal - Budsjett 2020'!F77</f>
        <v>2000</v>
      </c>
      <c r="G42" s="15">
        <f>'Areal - Budsjett 2020'!G77</f>
        <v>2000</v>
      </c>
      <c r="H42" s="15">
        <f>'Areal - Budsjett 2020'!H77</f>
        <v>2000</v>
      </c>
      <c r="I42" s="15">
        <f>'Areal - Budsjett 2020'!I77</f>
        <v>2000</v>
      </c>
      <c r="J42" s="15">
        <f>'Areal - Budsjett 2020'!J77</f>
        <v>2000</v>
      </c>
      <c r="K42" s="15">
        <f>'Areal - Budsjett 2020'!K77</f>
        <v>2000</v>
      </c>
      <c r="L42" s="15">
        <f>'Areal - Budsjett 2020'!L77</f>
        <v>2000</v>
      </c>
      <c r="M42" s="15">
        <f>'Areal - Budsjett 2020'!M77</f>
        <v>2000</v>
      </c>
      <c r="N42" s="15">
        <f>'Areal - Budsjett 2020'!N77</f>
        <v>2000</v>
      </c>
      <c r="O42" s="15">
        <f>'Areal - Budsjett 2020'!O77</f>
        <v>2000</v>
      </c>
      <c r="P42" s="15">
        <f>SUM(D42:O42)</f>
        <v>24000</v>
      </c>
    </row>
    <row r="43" spans="1:16" x14ac:dyDescent="0.3">
      <c r="A43" s="23"/>
      <c r="B43" s="43" t="s">
        <v>127</v>
      </c>
      <c r="C43" s="14">
        <f>P43/$P$6</f>
        <v>6.7237070817592322E-4</v>
      </c>
      <c r="D43" s="15">
        <f>'Fritzøe - budsj 2020'!D92</f>
        <v>2500</v>
      </c>
      <c r="E43" s="15">
        <f>'Fritzøe - budsj 2020'!E92</f>
        <v>2500</v>
      </c>
      <c r="F43" s="15">
        <f>'Fritzøe - budsj 2020'!F92</f>
        <v>2500</v>
      </c>
      <c r="G43" s="15">
        <f>'Fritzøe - budsj 2020'!G92</f>
        <v>2500</v>
      </c>
      <c r="H43" s="15">
        <f>'Fritzøe - budsj 2020'!H92</f>
        <v>2500</v>
      </c>
      <c r="I43" s="15">
        <f>'Fritzøe - budsj 2020'!I92</f>
        <v>2500</v>
      </c>
      <c r="J43" s="15">
        <f>'Fritzøe - budsj 2020'!J92</f>
        <v>2500</v>
      </c>
      <c r="K43" s="15">
        <f>'Fritzøe - budsj 2020'!K92</f>
        <v>2500</v>
      </c>
      <c r="L43" s="15">
        <f>'Fritzøe - budsj 2020'!L92</f>
        <v>2500</v>
      </c>
      <c r="M43" s="15">
        <f>'Fritzøe - budsj 2020'!M92</f>
        <v>2500</v>
      </c>
      <c r="N43" s="15">
        <f>'Fritzøe - budsj 2020'!N92</f>
        <v>2500</v>
      </c>
      <c r="O43" s="15">
        <f>'Fritzøe - budsj 2020'!O92</f>
        <v>2500</v>
      </c>
      <c r="P43" s="15">
        <f>SUM(D43:O43)</f>
        <v>30000</v>
      </c>
    </row>
    <row r="44" spans="1:16" x14ac:dyDescent="0.3">
      <c r="A44" s="23"/>
      <c r="B44" s="20" t="s">
        <v>81</v>
      </c>
      <c r="C44" s="26">
        <f>P44/$P$7</f>
        <v>7.3261750020610556E-4</v>
      </c>
      <c r="D44" s="17">
        <f t="shared" ref="D44:P44" si="9">SUM(D42:D43)</f>
        <v>4500</v>
      </c>
      <c r="E44" s="17">
        <f t="shared" si="9"/>
        <v>4500</v>
      </c>
      <c r="F44" s="17">
        <f t="shared" si="9"/>
        <v>4500</v>
      </c>
      <c r="G44" s="17">
        <f t="shared" si="9"/>
        <v>4500</v>
      </c>
      <c r="H44" s="17">
        <f t="shared" si="9"/>
        <v>4500</v>
      </c>
      <c r="I44" s="17">
        <f t="shared" si="9"/>
        <v>4500</v>
      </c>
      <c r="J44" s="17">
        <f t="shared" si="9"/>
        <v>4500</v>
      </c>
      <c r="K44" s="17">
        <f t="shared" si="9"/>
        <v>4500</v>
      </c>
      <c r="L44" s="17">
        <f t="shared" si="9"/>
        <v>4500</v>
      </c>
      <c r="M44" s="17">
        <f t="shared" si="9"/>
        <v>4500</v>
      </c>
      <c r="N44" s="17">
        <f t="shared" si="9"/>
        <v>4500</v>
      </c>
      <c r="O44" s="17">
        <f t="shared" si="9"/>
        <v>4500</v>
      </c>
      <c r="P44" s="17">
        <f t="shared" si="9"/>
        <v>54000</v>
      </c>
    </row>
    <row r="45" spans="1:16" x14ac:dyDescent="0.3">
      <c r="A45" s="23"/>
      <c r="B45" s="23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1:16" x14ac:dyDescent="0.3">
      <c r="A46" s="23" t="s">
        <v>316</v>
      </c>
      <c r="B46" s="23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x14ac:dyDescent="0.3">
      <c r="A47" s="22"/>
      <c r="B47" s="43" t="s">
        <v>126</v>
      </c>
      <c r="C47" s="14">
        <f>P47/$P$5</f>
        <v>3.2588440588958448E-2</v>
      </c>
      <c r="D47" s="15">
        <f>'Areal - Budsjett 2020'!D84</f>
        <v>79000</v>
      </c>
      <c r="E47" s="15">
        <f>'Areal - Budsjett 2020'!E84</f>
        <v>79000</v>
      </c>
      <c r="F47" s="15">
        <f>'Areal - Budsjett 2020'!F84</f>
        <v>79000</v>
      </c>
      <c r="G47" s="15">
        <f>'Areal - Budsjett 2020'!G84</f>
        <v>79000</v>
      </c>
      <c r="H47" s="15">
        <f>'Areal - Budsjett 2020'!H84</f>
        <v>79000</v>
      </c>
      <c r="I47" s="15">
        <f>'Areal - Budsjett 2020'!I84</f>
        <v>79000</v>
      </c>
      <c r="J47" s="15">
        <f>'Areal - Budsjett 2020'!J84</f>
        <v>79000</v>
      </c>
      <c r="K47" s="15">
        <f>'Areal - Budsjett 2020'!K84</f>
        <v>79000</v>
      </c>
      <c r="L47" s="15">
        <f>'Areal - Budsjett 2020'!L84</f>
        <v>79000</v>
      </c>
      <c r="M47" s="15">
        <f>'Areal - Budsjett 2020'!M84</f>
        <v>79000</v>
      </c>
      <c r="N47" s="15">
        <f>'Areal - Budsjett 2020'!N84</f>
        <v>79000</v>
      </c>
      <c r="O47" s="15">
        <f>'Areal - Budsjett 2020'!O84</f>
        <v>79000</v>
      </c>
      <c r="P47" s="15">
        <f>SUM(D47:O47)</f>
        <v>948000</v>
      </c>
    </row>
    <row r="48" spans="1:16" x14ac:dyDescent="0.3">
      <c r="A48" s="22"/>
      <c r="B48" s="43" t="s">
        <v>127</v>
      </c>
      <c r="C48" s="14">
        <f>P48/$P$6</f>
        <v>3.0794578434457282E-2</v>
      </c>
      <c r="D48" s="15">
        <f>'Fritzøe - budsj 2020'!D99</f>
        <v>114500</v>
      </c>
      <c r="E48" s="15">
        <f>'Fritzøe - budsj 2020'!E99</f>
        <v>114500</v>
      </c>
      <c r="F48" s="15">
        <f>'Fritzøe - budsj 2020'!F99</f>
        <v>114500</v>
      </c>
      <c r="G48" s="15">
        <f>'Fritzøe - budsj 2020'!G99</f>
        <v>114500</v>
      </c>
      <c r="H48" s="15">
        <f>'Fritzøe - budsj 2020'!H99</f>
        <v>114500</v>
      </c>
      <c r="I48" s="15">
        <f>'Fritzøe - budsj 2020'!I99</f>
        <v>114500</v>
      </c>
      <c r="J48" s="15">
        <f>'Fritzøe - budsj 2020'!J99</f>
        <v>114500</v>
      </c>
      <c r="K48" s="15">
        <f>'Fritzøe - budsj 2020'!K99</f>
        <v>114500</v>
      </c>
      <c r="L48" s="15">
        <f>'Fritzøe - budsj 2020'!L99</f>
        <v>114500</v>
      </c>
      <c r="M48" s="15">
        <f>'Fritzøe - budsj 2020'!M99</f>
        <v>114500</v>
      </c>
      <c r="N48" s="15">
        <f>'Fritzøe - budsj 2020'!N99</f>
        <v>114500</v>
      </c>
      <c r="O48" s="15">
        <f>'Fritzøe - budsj 2020'!O99</f>
        <v>114500</v>
      </c>
      <c r="P48" s="15">
        <f>SUM(D48:O48)</f>
        <v>1374000</v>
      </c>
    </row>
    <row r="49" spans="1:255" x14ac:dyDescent="0.3">
      <c r="A49" s="23"/>
      <c r="B49" s="20" t="s">
        <v>84</v>
      </c>
      <c r="C49" s="26">
        <f>P49/$P$7</f>
        <v>3.1502552508862539E-2</v>
      </c>
      <c r="D49" s="17">
        <f t="shared" ref="D49:P49" si="10">SUM(D47:D48)</f>
        <v>193500</v>
      </c>
      <c r="E49" s="17">
        <f t="shared" si="10"/>
        <v>193500</v>
      </c>
      <c r="F49" s="17">
        <f t="shared" si="10"/>
        <v>193500</v>
      </c>
      <c r="G49" s="17">
        <f t="shared" si="10"/>
        <v>193500</v>
      </c>
      <c r="H49" s="17">
        <f t="shared" si="10"/>
        <v>193500</v>
      </c>
      <c r="I49" s="17">
        <f t="shared" si="10"/>
        <v>193500</v>
      </c>
      <c r="J49" s="17">
        <f t="shared" si="10"/>
        <v>193500</v>
      </c>
      <c r="K49" s="17">
        <f t="shared" si="10"/>
        <v>193500</v>
      </c>
      <c r="L49" s="17">
        <f t="shared" si="10"/>
        <v>193500</v>
      </c>
      <c r="M49" s="17">
        <f t="shared" si="10"/>
        <v>193500</v>
      </c>
      <c r="N49" s="17">
        <f t="shared" si="10"/>
        <v>193500</v>
      </c>
      <c r="O49" s="17">
        <f t="shared" si="10"/>
        <v>193500</v>
      </c>
      <c r="P49" s="17">
        <f t="shared" si="10"/>
        <v>2322000</v>
      </c>
    </row>
    <row r="50" spans="1:255" x14ac:dyDescent="0.3">
      <c r="A50" s="23"/>
      <c r="B50" s="23"/>
      <c r="C50" s="14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255" s="13" customFormat="1" x14ac:dyDescent="0.3">
      <c r="A51" s="23" t="s">
        <v>85</v>
      </c>
      <c r="B51" s="43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</row>
    <row r="52" spans="1:255" x14ac:dyDescent="0.3">
      <c r="A52" s="22"/>
      <c r="B52" s="43" t="s">
        <v>126</v>
      </c>
      <c r="C52" s="14">
        <f>P52/$P$5</f>
        <v>2.6813273902307581E-3</v>
      </c>
      <c r="D52" s="15">
        <f>'Areal - Budsjett 2020'!D92</f>
        <v>6500</v>
      </c>
      <c r="E52" s="15">
        <f>'Areal - Budsjett 2020'!E92</f>
        <v>6500</v>
      </c>
      <c r="F52" s="15">
        <f>'Areal - Budsjett 2020'!F92</f>
        <v>6500</v>
      </c>
      <c r="G52" s="15">
        <f>'Areal - Budsjett 2020'!G92</f>
        <v>6500</v>
      </c>
      <c r="H52" s="15">
        <f>'Areal - Budsjett 2020'!H92</f>
        <v>6500</v>
      </c>
      <c r="I52" s="15">
        <f>'Areal - Budsjett 2020'!I92</f>
        <v>6500</v>
      </c>
      <c r="J52" s="15">
        <f>'Areal - Budsjett 2020'!J92</f>
        <v>6500</v>
      </c>
      <c r="K52" s="15">
        <f>'Areal - Budsjett 2020'!K92</f>
        <v>6500</v>
      </c>
      <c r="L52" s="15">
        <f>'Areal - Budsjett 2020'!L92</f>
        <v>6500</v>
      </c>
      <c r="M52" s="15">
        <f>'Areal - Budsjett 2020'!M92</f>
        <v>6500</v>
      </c>
      <c r="N52" s="15">
        <f>'Areal - Budsjett 2020'!N92</f>
        <v>6500</v>
      </c>
      <c r="O52" s="15">
        <f>'Areal - Budsjett 2020'!O92</f>
        <v>6500</v>
      </c>
      <c r="P52" s="15">
        <f>SUM(D52:O52)</f>
        <v>78000</v>
      </c>
    </row>
    <row r="53" spans="1:255" x14ac:dyDescent="0.3">
      <c r="A53" s="22"/>
      <c r="B53" s="43" t="s">
        <v>127</v>
      </c>
      <c r="C53" s="14">
        <f>P53/$P$6</f>
        <v>1.479215557987031E-3</v>
      </c>
      <c r="D53" s="15">
        <f>'Fritzøe - budsj 2020'!D107</f>
        <v>5500</v>
      </c>
      <c r="E53" s="15">
        <f>'Fritzøe - budsj 2020'!E107</f>
        <v>5500</v>
      </c>
      <c r="F53" s="15">
        <f>'Fritzøe - budsj 2020'!F107</f>
        <v>5500</v>
      </c>
      <c r="G53" s="15">
        <f>'Fritzøe - budsj 2020'!G107</f>
        <v>5500</v>
      </c>
      <c r="H53" s="15">
        <f>'Fritzøe - budsj 2020'!H107</f>
        <v>5500</v>
      </c>
      <c r="I53" s="15">
        <f>'Fritzøe - budsj 2020'!I107</f>
        <v>5500</v>
      </c>
      <c r="J53" s="15">
        <f>'Fritzøe - budsj 2020'!J107</f>
        <v>5500</v>
      </c>
      <c r="K53" s="15">
        <f>'Fritzøe - budsj 2020'!K107</f>
        <v>5500</v>
      </c>
      <c r="L53" s="15">
        <f>'Fritzøe - budsj 2020'!L107</f>
        <v>5500</v>
      </c>
      <c r="M53" s="15">
        <f>'Fritzøe - budsj 2020'!M107</f>
        <v>5500</v>
      </c>
      <c r="N53" s="15">
        <f>'Fritzøe - budsj 2020'!N107</f>
        <v>5500</v>
      </c>
      <c r="O53" s="15">
        <f>'Fritzøe - budsj 2020'!O107</f>
        <v>5500</v>
      </c>
      <c r="P53" s="15">
        <f>SUM(D53:O53)</f>
        <v>66000</v>
      </c>
    </row>
    <row r="54" spans="1:255" x14ac:dyDescent="0.3">
      <c r="A54" s="23"/>
      <c r="B54" s="20" t="s">
        <v>86</v>
      </c>
      <c r="C54" s="26">
        <f>P54/$P$7</f>
        <v>1.9536466672162816E-3</v>
      </c>
      <c r="D54" s="17">
        <f t="shared" ref="D54:P54" si="11">SUM(D52:D53)</f>
        <v>12000</v>
      </c>
      <c r="E54" s="17">
        <f t="shared" si="11"/>
        <v>12000</v>
      </c>
      <c r="F54" s="17">
        <f t="shared" si="11"/>
        <v>12000</v>
      </c>
      <c r="G54" s="17">
        <f t="shared" si="11"/>
        <v>12000</v>
      </c>
      <c r="H54" s="17">
        <f t="shared" si="11"/>
        <v>12000</v>
      </c>
      <c r="I54" s="17">
        <f t="shared" si="11"/>
        <v>12000</v>
      </c>
      <c r="J54" s="17">
        <f t="shared" si="11"/>
        <v>12000</v>
      </c>
      <c r="K54" s="17">
        <f t="shared" si="11"/>
        <v>12000</v>
      </c>
      <c r="L54" s="17">
        <f t="shared" si="11"/>
        <v>12000</v>
      </c>
      <c r="M54" s="17">
        <f t="shared" si="11"/>
        <v>12000</v>
      </c>
      <c r="N54" s="17">
        <f t="shared" si="11"/>
        <v>12000</v>
      </c>
      <c r="O54" s="17">
        <f t="shared" si="11"/>
        <v>12000</v>
      </c>
      <c r="P54" s="17">
        <f t="shared" si="11"/>
        <v>144000</v>
      </c>
    </row>
    <row r="55" spans="1:255" x14ac:dyDescent="0.3">
      <c r="A55" s="23"/>
      <c r="B55" s="23"/>
      <c r="C55" s="14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spans="1:255" x14ac:dyDescent="0.3">
      <c r="A56" s="23" t="s">
        <v>90</v>
      </c>
      <c r="B56" s="21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255" x14ac:dyDescent="0.3">
      <c r="A57" s="22"/>
      <c r="B57" s="43" t="s">
        <v>126</v>
      </c>
      <c r="C57" s="14">
        <f>P57/$P$5</f>
        <v>1.7325500059952592E-2</v>
      </c>
      <c r="D57" s="15">
        <f>'Areal - Budsjett 2020'!D99</f>
        <v>42000</v>
      </c>
      <c r="E57" s="15">
        <f>'Areal - Budsjett 2020'!E99</f>
        <v>42000</v>
      </c>
      <c r="F57" s="15">
        <f>'Areal - Budsjett 2020'!F99</f>
        <v>42000</v>
      </c>
      <c r="G57" s="15">
        <f>'Areal - Budsjett 2020'!G99</f>
        <v>42000</v>
      </c>
      <c r="H57" s="15">
        <f>'Areal - Budsjett 2020'!H99</f>
        <v>42000</v>
      </c>
      <c r="I57" s="15">
        <f>'Areal - Budsjett 2020'!I99</f>
        <v>42000</v>
      </c>
      <c r="J57" s="15">
        <f>'Areal - Budsjett 2020'!J99</f>
        <v>42000</v>
      </c>
      <c r="K57" s="15">
        <f>'Areal - Budsjett 2020'!K99</f>
        <v>42000</v>
      </c>
      <c r="L57" s="15">
        <f>'Areal - Budsjett 2020'!L99</f>
        <v>42000</v>
      </c>
      <c r="M57" s="15">
        <f>'Areal - Budsjett 2020'!M99</f>
        <v>42000</v>
      </c>
      <c r="N57" s="15">
        <f>'Areal - Budsjett 2020'!N99</f>
        <v>42000</v>
      </c>
      <c r="O57" s="15">
        <f>'Areal - Budsjett 2020'!O99</f>
        <v>42000</v>
      </c>
      <c r="P57" s="15">
        <f>SUM(D57:O57)</f>
        <v>504000</v>
      </c>
    </row>
    <row r="58" spans="1:255" x14ac:dyDescent="0.3">
      <c r="A58" s="22"/>
      <c r="B58" s="43" t="s">
        <v>127</v>
      </c>
      <c r="C58" s="14">
        <f>P58/$P$6</f>
        <v>6.1858105152184937E-3</v>
      </c>
      <c r="D58" s="15">
        <f>'Fritzøe - budsj 2020'!D114</f>
        <v>23000</v>
      </c>
      <c r="E58" s="15">
        <f>'Fritzøe - budsj 2020'!E114</f>
        <v>23000</v>
      </c>
      <c r="F58" s="15">
        <f>'Fritzøe - budsj 2020'!F114</f>
        <v>23000</v>
      </c>
      <c r="G58" s="15">
        <f>'Fritzøe - budsj 2020'!G114</f>
        <v>23000</v>
      </c>
      <c r="H58" s="15">
        <f>'Fritzøe - budsj 2020'!H114</f>
        <v>23000</v>
      </c>
      <c r="I58" s="15">
        <f>'Fritzøe - budsj 2020'!I114</f>
        <v>23000</v>
      </c>
      <c r="J58" s="15">
        <f>'Fritzøe - budsj 2020'!J114</f>
        <v>23000</v>
      </c>
      <c r="K58" s="15">
        <f>'Fritzøe - budsj 2020'!K114</f>
        <v>23000</v>
      </c>
      <c r="L58" s="15">
        <f>'Fritzøe - budsj 2020'!L114</f>
        <v>23000</v>
      </c>
      <c r="M58" s="15">
        <f>'Fritzøe - budsj 2020'!M114</f>
        <v>23000</v>
      </c>
      <c r="N58" s="15">
        <f>'Fritzøe - budsj 2020'!N114</f>
        <v>23000</v>
      </c>
      <c r="O58" s="15">
        <f>'Fritzøe - budsj 2020'!O114</f>
        <v>23000</v>
      </c>
      <c r="P58" s="15">
        <f>SUM(D58:O58)</f>
        <v>276000</v>
      </c>
    </row>
    <row r="59" spans="1:255" s="7" customFormat="1" x14ac:dyDescent="0.3">
      <c r="A59" s="23"/>
      <c r="B59" s="20" t="s">
        <v>91</v>
      </c>
      <c r="C59" s="26">
        <f>P59/$P$7</f>
        <v>1.0582252780754859E-2</v>
      </c>
      <c r="D59" s="17">
        <f t="shared" ref="D59:P59" si="12">SUM(D57:D58)</f>
        <v>65000</v>
      </c>
      <c r="E59" s="17">
        <f t="shared" si="12"/>
        <v>65000</v>
      </c>
      <c r="F59" s="17">
        <f t="shared" si="12"/>
        <v>65000</v>
      </c>
      <c r="G59" s="17">
        <f t="shared" si="12"/>
        <v>65000</v>
      </c>
      <c r="H59" s="17">
        <f t="shared" si="12"/>
        <v>65000</v>
      </c>
      <c r="I59" s="17">
        <f t="shared" si="12"/>
        <v>65000</v>
      </c>
      <c r="J59" s="17">
        <f t="shared" si="12"/>
        <v>65000</v>
      </c>
      <c r="K59" s="17">
        <f t="shared" si="12"/>
        <v>65000</v>
      </c>
      <c r="L59" s="17">
        <f t="shared" si="12"/>
        <v>65000</v>
      </c>
      <c r="M59" s="17">
        <f t="shared" si="12"/>
        <v>65000</v>
      </c>
      <c r="N59" s="17">
        <f t="shared" si="12"/>
        <v>65000</v>
      </c>
      <c r="O59" s="17">
        <f t="shared" si="12"/>
        <v>65000</v>
      </c>
      <c r="P59" s="17">
        <f t="shared" si="12"/>
        <v>780000</v>
      </c>
    </row>
    <row r="60" spans="1:255" s="7" customFormat="1" x14ac:dyDescent="0.3">
      <c r="A60" s="23"/>
      <c r="B60" s="23"/>
      <c r="C60" s="14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255" x14ac:dyDescent="0.3">
      <c r="A61" s="23" t="s">
        <v>129</v>
      </c>
      <c r="B61" s="21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255" x14ac:dyDescent="0.3">
      <c r="A62" s="22"/>
      <c r="B62" s="43" t="s">
        <v>126</v>
      </c>
      <c r="C62" s="14">
        <f>P62/$P$5</f>
        <v>4.1251190618934747E-3</v>
      </c>
      <c r="D62" s="15">
        <f>'Areal - Budsjett 2020'!D106</f>
        <v>10000</v>
      </c>
      <c r="E62" s="15">
        <f>'Areal - Budsjett 2020'!E106</f>
        <v>10000</v>
      </c>
      <c r="F62" s="15">
        <f>'Areal - Budsjett 2020'!F106</f>
        <v>10000</v>
      </c>
      <c r="G62" s="15">
        <f>'Areal - Budsjett 2020'!G106</f>
        <v>10000</v>
      </c>
      <c r="H62" s="15">
        <f>'Areal - Budsjett 2020'!H106</f>
        <v>10000</v>
      </c>
      <c r="I62" s="15">
        <f>'Areal - Budsjett 2020'!I106</f>
        <v>10000</v>
      </c>
      <c r="J62" s="15">
        <f>'Areal - Budsjett 2020'!J106</f>
        <v>10000</v>
      </c>
      <c r="K62" s="15">
        <f>'Areal - Budsjett 2020'!K106</f>
        <v>10000</v>
      </c>
      <c r="L62" s="15">
        <f>'Areal - Budsjett 2020'!L106</f>
        <v>10000</v>
      </c>
      <c r="M62" s="15">
        <f>'Areal - Budsjett 2020'!M106</f>
        <v>10000</v>
      </c>
      <c r="N62" s="15">
        <f>'Areal - Budsjett 2020'!N106</f>
        <v>10000</v>
      </c>
      <c r="O62" s="15">
        <f>'Areal - Budsjett 2020'!O106</f>
        <v>10000</v>
      </c>
      <c r="P62" s="15">
        <f>SUM(D62:O62)</f>
        <v>120000</v>
      </c>
    </row>
    <row r="63" spans="1:255" x14ac:dyDescent="0.3">
      <c r="A63" s="22"/>
      <c r="B63" s="43" t="s">
        <v>127</v>
      </c>
      <c r="C63" s="14">
        <f>P63/$P$6</f>
        <v>1.3447414163518464E-3</v>
      </c>
      <c r="D63" s="15">
        <f>'Fritzøe - budsj 2020'!D121</f>
        <v>5000</v>
      </c>
      <c r="E63" s="15">
        <f>'Fritzøe - budsj 2020'!E121</f>
        <v>5000</v>
      </c>
      <c r="F63" s="15">
        <f>'Fritzøe - budsj 2020'!F121</f>
        <v>5000</v>
      </c>
      <c r="G63" s="15">
        <f>'Fritzøe - budsj 2020'!G121</f>
        <v>5000</v>
      </c>
      <c r="H63" s="15">
        <f>'Fritzøe - budsj 2020'!H121</f>
        <v>5000</v>
      </c>
      <c r="I63" s="15">
        <f>'Fritzøe - budsj 2020'!I121</f>
        <v>5000</v>
      </c>
      <c r="J63" s="15">
        <f>'Fritzøe - budsj 2020'!J121</f>
        <v>5000</v>
      </c>
      <c r="K63" s="15">
        <f>'Fritzøe - budsj 2020'!K121</f>
        <v>5000</v>
      </c>
      <c r="L63" s="15">
        <f>'Fritzøe - budsj 2020'!L121</f>
        <v>5000</v>
      </c>
      <c r="M63" s="15">
        <f>'Fritzøe - budsj 2020'!M121</f>
        <v>5000</v>
      </c>
      <c r="N63" s="15">
        <f>'Fritzøe - budsj 2020'!N121</f>
        <v>5000</v>
      </c>
      <c r="O63" s="15">
        <f>'Fritzøe - budsj 2020'!O121</f>
        <v>5000</v>
      </c>
      <c r="P63" s="15">
        <f>SUM(D63:O63)</f>
        <v>60000</v>
      </c>
    </row>
    <row r="64" spans="1:255" s="7" customFormat="1" x14ac:dyDescent="0.3">
      <c r="A64" s="23"/>
      <c r="B64" s="20" t="s">
        <v>93</v>
      </c>
      <c r="C64" s="26">
        <f>P64/$P$7</f>
        <v>2.4420583340203517E-3</v>
      </c>
      <c r="D64" s="17">
        <f t="shared" ref="D64:P64" si="13">SUM(D62:D63)</f>
        <v>15000</v>
      </c>
      <c r="E64" s="17">
        <f t="shared" si="13"/>
        <v>15000</v>
      </c>
      <c r="F64" s="17">
        <f t="shared" si="13"/>
        <v>15000</v>
      </c>
      <c r="G64" s="17">
        <f t="shared" si="13"/>
        <v>15000</v>
      </c>
      <c r="H64" s="17">
        <f t="shared" si="13"/>
        <v>15000</v>
      </c>
      <c r="I64" s="17">
        <f t="shared" si="13"/>
        <v>15000</v>
      </c>
      <c r="J64" s="17">
        <f t="shared" si="13"/>
        <v>15000</v>
      </c>
      <c r="K64" s="17">
        <f t="shared" si="13"/>
        <v>15000</v>
      </c>
      <c r="L64" s="17">
        <f t="shared" si="13"/>
        <v>15000</v>
      </c>
      <c r="M64" s="17">
        <f t="shared" si="13"/>
        <v>15000</v>
      </c>
      <c r="N64" s="17">
        <f t="shared" si="13"/>
        <v>15000</v>
      </c>
      <c r="O64" s="17">
        <f t="shared" si="13"/>
        <v>15000</v>
      </c>
      <c r="P64" s="17">
        <f t="shared" si="13"/>
        <v>180000</v>
      </c>
    </row>
    <row r="65" spans="1:16" s="7" customFormat="1" x14ac:dyDescent="0.3">
      <c r="A65" s="23"/>
      <c r="B65" s="23"/>
      <c r="C65" s="14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3">
      <c r="A66" s="23" t="s">
        <v>98</v>
      </c>
      <c r="B66" s="21"/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3">
      <c r="A67" s="22"/>
      <c r="B67" s="43" t="s">
        <v>126</v>
      </c>
      <c r="C67" s="14">
        <f>P67/$P$5</f>
        <v>3.0938392964201056E-3</v>
      </c>
      <c r="D67" s="15">
        <f>'Areal - Budsjett 2020'!D112</f>
        <v>7500</v>
      </c>
      <c r="E67" s="15">
        <f>'Areal - Budsjett 2020'!E112</f>
        <v>7500</v>
      </c>
      <c r="F67" s="15">
        <f>'Areal - Budsjett 2020'!F112</f>
        <v>7500</v>
      </c>
      <c r="G67" s="15">
        <f>'Areal - Budsjett 2020'!G112</f>
        <v>7500</v>
      </c>
      <c r="H67" s="15">
        <f>'Areal - Budsjett 2020'!H112</f>
        <v>7500</v>
      </c>
      <c r="I67" s="15">
        <f>'Areal - Budsjett 2020'!I112</f>
        <v>7500</v>
      </c>
      <c r="J67" s="15">
        <f>'Areal - Budsjett 2020'!J112</f>
        <v>7500</v>
      </c>
      <c r="K67" s="15">
        <f>'Areal - Budsjett 2020'!K112</f>
        <v>7500</v>
      </c>
      <c r="L67" s="15">
        <f>'Areal - Budsjett 2020'!L112</f>
        <v>7500</v>
      </c>
      <c r="M67" s="15">
        <f>'Areal - Budsjett 2020'!M112</f>
        <v>7500</v>
      </c>
      <c r="N67" s="15">
        <f>'Areal - Budsjett 2020'!N112</f>
        <v>7500</v>
      </c>
      <c r="O67" s="15">
        <f>'Areal - Budsjett 2020'!O112</f>
        <v>7500</v>
      </c>
      <c r="P67" s="15">
        <f>SUM(D67:O67)</f>
        <v>90000</v>
      </c>
    </row>
    <row r="68" spans="1:16" x14ac:dyDescent="0.3">
      <c r="A68" s="22"/>
      <c r="B68" s="43" t="s">
        <v>127</v>
      </c>
      <c r="C68" s="14">
        <f>P68/$P$6</f>
        <v>1.3447414163518464E-3</v>
      </c>
      <c r="D68" s="15">
        <f>'Fritzøe - budsj 2020'!D126</f>
        <v>5000</v>
      </c>
      <c r="E68" s="15">
        <f>'Fritzøe - budsj 2020'!E126</f>
        <v>5000</v>
      </c>
      <c r="F68" s="15">
        <f>'Fritzøe - budsj 2020'!F126</f>
        <v>5000</v>
      </c>
      <c r="G68" s="15">
        <f>'Fritzøe - budsj 2020'!G126</f>
        <v>5000</v>
      </c>
      <c r="H68" s="15">
        <f>'Fritzøe - budsj 2020'!H126</f>
        <v>5000</v>
      </c>
      <c r="I68" s="15">
        <f>'Fritzøe - budsj 2020'!I126</f>
        <v>5000</v>
      </c>
      <c r="J68" s="15">
        <f>'Fritzøe - budsj 2020'!J126</f>
        <v>5000</v>
      </c>
      <c r="K68" s="15">
        <f>'Fritzøe - budsj 2020'!K126</f>
        <v>5000</v>
      </c>
      <c r="L68" s="15">
        <f>'Fritzøe - budsj 2020'!L126</f>
        <v>5000</v>
      </c>
      <c r="M68" s="15">
        <f>'Fritzøe - budsj 2020'!M126</f>
        <v>5000</v>
      </c>
      <c r="N68" s="15">
        <f>'Fritzøe - budsj 2020'!N126</f>
        <v>5000</v>
      </c>
      <c r="O68" s="15">
        <f>'Fritzøe - budsj 2020'!O126</f>
        <v>5000</v>
      </c>
      <c r="P68" s="15">
        <f>SUM(D68:O68)</f>
        <v>60000</v>
      </c>
    </row>
    <row r="69" spans="1:16" s="7" customFormat="1" x14ac:dyDescent="0.3">
      <c r="A69" s="23"/>
      <c r="B69" s="20" t="s">
        <v>99</v>
      </c>
      <c r="C69" s="26">
        <f>P69/$P$7</f>
        <v>2.0350486116836267E-3</v>
      </c>
      <c r="D69" s="17">
        <f t="shared" ref="D69:P69" si="14">SUM(D67:D68)</f>
        <v>12500</v>
      </c>
      <c r="E69" s="17">
        <f t="shared" si="14"/>
        <v>12500</v>
      </c>
      <c r="F69" s="17">
        <f t="shared" si="14"/>
        <v>12500</v>
      </c>
      <c r="G69" s="17">
        <f t="shared" si="14"/>
        <v>12500</v>
      </c>
      <c r="H69" s="17">
        <f t="shared" si="14"/>
        <v>12500</v>
      </c>
      <c r="I69" s="17">
        <f t="shared" si="14"/>
        <v>12500</v>
      </c>
      <c r="J69" s="17">
        <f t="shared" si="14"/>
        <v>12500</v>
      </c>
      <c r="K69" s="17">
        <f t="shared" si="14"/>
        <v>12500</v>
      </c>
      <c r="L69" s="17">
        <f t="shared" si="14"/>
        <v>12500</v>
      </c>
      <c r="M69" s="17">
        <f t="shared" si="14"/>
        <v>12500</v>
      </c>
      <c r="N69" s="17">
        <f t="shared" si="14"/>
        <v>12500</v>
      </c>
      <c r="O69" s="17">
        <f t="shared" si="14"/>
        <v>12500</v>
      </c>
      <c r="P69" s="17">
        <f t="shared" si="14"/>
        <v>150000</v>
      </c>
    </row>
    <row r="70" spans="1:16" s="7" customFormat="1" x14ac:dyDescent="0.3">
      <c r="A70" s="23"/>
      <c r="B70" s="23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3">
      <c r="A71" s="23" t="s">
        <v>103</v>
      </c>
      <c r="B71" s="21"/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3">
      <c r="A72" s="23"/>
      <c r="B72" s="43" t="s">
        <v>126</v>
      </c>
      <c r="C72" s="14">
        <f>P72/$P$5</f>
        <v>6.1876785928402121E-4</v>
      </c>
      <c r="D72" s="15">
        <f>'Areal - Budsjett 2020'!D116</f>
        <v>1500</v>
      </c>
      <c r="E72" s="15">
        <f>'Areal - Budsjett 2020'!E116</f>
        <v>1500</v>
      </c>
      <c r="F72" s="15">
        <f>'Areal - Budsjett 2020'!F116</f>
        <v>1500</v>
      </c>
      <c r="G72" s="15">
        <f>'Areal - Budsjett 2020'!G116</f>
        <v>1500</v>
      </c>
      <c r="H72" s="15">
        <f>'Areal - Budsjett 2020'!H116</f>
        <v>1500</v>
      </c>
      <c r="I72" s="15">
        <f>'Areal - Budsjett 2020'!I116</f>
        <v>1500</v>
      </c>
      <c r="J72" s="15">
        <f>'Areal - Budsjett 2020'!J116</f>
        <v>1500</v>
      </c>
      <c r="K72" s="15">
        <f>'Areal - Budsjett 2020'!K116</f>
        <v>1500</v>
      </c>
      <c r="L72" s="15">
        <f>'Areal - Budsjett 2020'!L116</f>
        <v>1500</v>
      </c>
      <c r="M72" s="15">
        <f>'Areal - Budsjett 2020'!M116</f>
        <v>1500</v>
      </c>
      <c r="N72" s="15">
        <f>'Areal - Budsjett 2020'!N116</f>
        <v>1500</v>
      </c>
      <c r="O72" s="15">
        <f>'Areal - Budsjett 2020'!O116</f>
        <v>1500</v>
      </c>
      <c r="P72" s="15">
        <f>SUM(D72:O72)</f>
        <v>18000</v>
      </c>
    </row>
    <row r="73" spans="1:16" x14ac:dyDescent="0.3">
      <c r="A73" s="23"/>
      <c r="B73" s="43" t="s">
        <v>127</v>
      </c>
      <c r="C73" s="14">
        <f>P73/$P$6</f>
        <v>2.6894828327036927E-4</v>
      </c>
      <c r="D73" s="15">
        <f>'Fritzøe - budsj 2020'!D130</f>
        <v>1000</v>
      </c>
      <c r="E73" s="15">
        <f>'Fritzøe - budsj 2020'!E130</f>
        <v>1000</v>
      </c>
      <c r="F73" s="15">
        <f>'Fritzøe - budsj 2020'!F130</f>
        <v>1000</v>
      </c>
      <c r="G73" s="15">
        <f>'Fritzøe - budsj 2020'!G130</f>
        <v>1000</v>
      </c>
      <c r="H73" s="15">
        <f>'Fritzøe - budsj 2020'!H130</f>
        <v>1000</v>
      </c>
      <c r="I73" s="15">
        <f>'Fritzøe - budsj 2020'!I130</f>
        <v>1000</v>
      </c>
      <c r="J73" s="15">
        <f>'Fritzøe - budsj 2020'!J130</f>
        <v>1000</v>
      </c>
      <c r="K73" s="15">
        <f>'Fritzøe - budsj 2020'!K130</f>
        <v>1000</v>
      </c>
      <c r="L73" s="15">
        <f>'Fritzøe - budsj 2020'!L130</f>
        <v>1000</v>
      </c>
      <c r="M73" s="15">
        <f>'Fritzøe - budsj 2020'!M130</f>
        <v>1000</v>
      </c>
      <c r="N73" s="15">
        <f>'Fritzøe - budsj 2020'!N130</f>
        <v>1000</v>
      </c>
      <c r="O73" s="15">
        <f>'Fritzøe - budsj 2020'!O130</f>
        <v>1000</v>
      </c>
      <c r="P73" s="15">
        <f>SUM(D73:O73)</f>
        <v>12000</v>
      </c>
    </row>
    <row r="74" spans="1:16" s="7" customFormat="1" x14ac:dyDescent="0.3">
      <c r="A74" s="23"/>
      <c r="B74" s="20" t="s">
        <v>104</v>
      </c>
      <c r="C74" s="26">
        <f>P74/$P$7</f>
        <v>4.0700972233672532E-4</v>
      </c>
      <c r="D74" s="17">
        <f t="shared" ref="D74:P74" si="15">SUM(D72:D73)</f>
        <v>2500</v>
      </c>
      <c r="E74" s="17">
        <f t="shared" si="15"/>
        <v>2500</v>
      </c>
      <c r="F74" s="17">
        <f t="shared" si="15"/>
        <v>2500</v>
      </c>
      <c r="G74" s="17">
        <f t="shared" si="15"/>
        <v>2500</v>
      </c>
      <c r="H74" s="17">
        <f t="shared" si="15"/>
        <v>2500</v>
      </c>
      <c r="I74" s="17">
        <f t="shared" si="15"/>
        <v>2500</v>
      </c>
      <c r="J74" s="17">
        <f t="shared" si="15"/>
        <v>2500</v>
      </c>
      <c r="K74" s="17">
        <f t="shared" si="15"/>
        <v>2500</v>
      </c>
      <c r="L74" s="17">
        <f t="shared" si="15"/>
        <v>2500</v>
      </c>
      <c r="M74" s="17">
        <f t="shared" si="15"/>
        <v>2500</v>
      </c>
      <c r="N74" s="17">
        <f t="shared" si="15"/>
        <v>2500</v>
      </c>
      <c r="O74" s="17">
        <f t="shared" si="15"/>
        <v>2500</v>
      </c>
      <c r="P74" s="17">
        <f t="shared" si="15"/>
        <v>30000</v>
      </c>
    </row>
    <row r="75" spans="1:16" s="7" customFormat="1" x14ac:dyDescent="0.3">
      <c r="A75" s="23"/>
      <c r="B75" s="23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3">
      <c r="A76" s="23" t="s">
        <v>106</v>
      </c>
      <c r="B76" s="21"/>
      <c r="C76" s="14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3">
      <c r="A77" s="23"/>
      <c r="B77" s="43" t="s">
        <v>126</v>
      </c>
      <c r="C77" s="14">
        <f>P77/$P$5</f>
        <v>4.9501428742721697E-3</v>
      </c>
      <c r="D77" s="15">
        <f>'Areal - Budsjett 2020'!D121</f>
        <v>12000</v>
      </c>
      <c r="E77" s="15">
        <f>'Areal - Budsjett 2020'!E121</f>
        <v>12000</v>
      </c>
      <c r="F77" s="15">
        <f>'Areal - Budsjett 2020'!F121</f>
        <v>12000</v>
      </c>
      <c r="G77" s="15">
        <f>'Areal - Budsjett 2020'!G121</f>
        <v>12000</v>
      </c>
      <c r="H77" s="15">
        <f>'Areal - Budsjett 2020'!H121</f>
        <v>12000</v>
      </c>
      <c r="I77" s="15">
        <f>'Areal - Budsjett 2020'!I121</f>
        <v>12000</v>
      </c>
      <c r="J77" s="15">
        <f>'Areal - Budsjett 2020'!J121</f>
        <v>12000</v>
      </c>
      <c r="K77" s="15">
        <f>'Areal - Budsjett 2020'!K121</f>
        <v>12000</v>
      </c>
      <c r="L77" s="15">
        <f>'Areal - Budsjett 2020'!L121</f>
        <v>12000</v>
      </c>
      <c r="M77" s="15">
        <f>'Areal - Budsjett 2020'!M121</f>
        <v>12000</v>
      </c>
      <c r="N77" s="15">
        <f>'Areal - Budsjett 2020'!N121</f>
        <v>12000</v>
      </c>
      <c r="O77" s="15">
        <f>'Areal - Budsjett 2020'!O121</f>
        <v>12000</v>
      </c>
      <c r="P77" s="15">
        <f>SUM(D77:O77)</f>
        <v>144000</v>
      </c>
    </row>
    <row r="78" spans="1:16" x14ac:dyDescent="0.3">
      <c r="A78" s="23"/>
      <c r="B78" s="43" t="s">
        <v>127</v>
      </c>
      <c r="C78" s="14">
        <f>P78/$P$6</f>
        <v>2.6894828327036929E-3</v>
      </c>
      <c r="D78" s="15">
        <f>'Fritzøe - budsj 2020'!D134</f>
        <v>10000</v>
      </c>
      <c r="E78" s="15">
        <f>'Fritzøe - budsj 2020'!E134</f>
        <v>10000</v>
      </c>
      <c r="F78" s="15">
        <f>'Fritzøe - budsj 2020'!F134</f>
        <v>10000</v>
      </c>
      <c r="G78" s="15">
        <f>'Fritzøe - budsj 2020'!G134</f>
        <v>10000</v>
      </c>
      <c r="H78" s="15">
        <f>'Fritzøe - budsj 2020'!H134</f>
        <v>10000</v>
      </c>
      <c r="I78" s="15">
        <f>'Fritzøe - budsj 2020'!I134</f>
        <v>10000</v>
      </c>
      <c r="J78" s="15">
        <f>'Fritzøe - budsj 2020'!J134</f>
        <v>10000</v>
      </c>
      <c r="K78" s="15">
        <f>'Fritzøe - budsj 2020'!K134</f>
        <v>10000</v>
      </c>
      <c r="L78" s="15">
        <f>'Fritzøe - budsj 2020'!L134</f>
        <v>10000</v>
      </c>
      <c r="M78" s="15">
        <f>'Fritzøe - budsj 2020'!M134</f>
        <v>10000</v>
      </c>
      <c r="N78" s="15">
        <f>'Fritzøe - budsj 2020'!N134</f>
        <v>10000</v>
      </c>
      <c r="O78" s="15">
        <f>'Fritzøe - budsj 2020'!O134</f>
        <v>10000</v>
      </c>
      <c r="P78" s="15">
        <f>SUM(D78:O78)</f>
        <v>120000</v>
      </c>
    </row>
    <row r="79" spans="1:16" s="7" customFormat="1" x14ac:dyDescent="0.3">
      <c r="A79" s="23"/>
      <c r="B79" s="20" t="s">
        <v>108</v>
      </c>
      <c r="C79" s="26">
        <f>P79/$P$7</f>
        <v>3.5816855565631829E-3</v>
      </c>
      <c r="D79" s="17">
        <f t="shared" ref="D79:P79" si="16">SUM(D77:D78)</f>
        <v>22000</v>
      </c>
      <c r="E79" s="17">
        <f t="shared" si="16"/>
        <v>22000</v>
      </c>
      <c r="F79" s="17">
        <f t="shared" si="16"/>
        <v>22000</v>
      </c>
      <c r="G79" s="17">
        <f t="shared" si="16"/>
        <v>22000</v>
      </c>
      <c r="H79" s="17">
        <f t="shared" si="16"/>
        <v>22000</v>
      </c>
      <c r="I79" s="17">
        <f t="shared" si="16"/>
        <v>22000</v>
      </c>
      <c r="J79" s="17">
        <f t="shared" si="16"/>
        <v>22000</v>
      </c>
      <c r="K79" s="17">
        <f t="shared" si="16"/>
        <v>22000</v>
      </c>
      <c r="L79" s="17">
        <f t="shared" si="16"/>
        <v>22000</v>
      </c>
      <c r="M79" s="17">
        <f t="shared" si="16"/>
        <v>22000</v>
      </c>
      <c r="N79" s="17">
        <f t="shared" si="16"/>
        <v>22000</v>
      </c>
      <c r="O79" s="17">
        <f t="shared" si="16"/>
        <v>22000</v>
      </c>
      <c r="P79" s="17">
        <f t="shared" si="16"/>
        <v>264000</v>
      </c>
    </row>
    <row r="80" spans="1:16" s="7" customFormat="1" x14ac:dyDescent="0.3">
      <c r="A80" s="23"/>
      <c r="B80" s="23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7" x14ac:dyDescent="0.3">
      <c r="A81" s="23" t="s">
        <v>109</v>
      </c>
      <c r="B81" s="21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7" x14ac:dyDescent="0.3">
      <c r="A82" s="22"/>
      <c r="B82" s="43" t="s">
        <v>126</v>
      </c>
      <c r="C82" s="14">
        <f>P82/$P$5</f>
        <v>1.2375357185680424E-3</v>
      </c>
      <c r="D82" s="15">
        <f>'Areal - Budsjett 2020'!D128</f>
        <v>3000</v>
      </c>
      <c r="E82" s="15">
        <f>'Areal - Budsjett 2020'!E128</f>
        <v>3000</v>
      </c>
      <c r="F82" s="15">
        <f>'Areal - Budsjett 2020'!F128</f>
        <v>3000</v>
      </c>
      <c r="G82" s="15">
        <f>'Areal - Budsjett 2020'!G128</f>
        <v>3000</v>
      </c>
      <c r="H82" s="15">
        <f>'Areal - Budsjett 2020'!H128</f>
        <v>3000</v>
      </c>
      <c r="I82" s="15">
        <f>'Areal - Budsjett 2020'!I128</f>
        <v>3000</v>
      </c>
      <c r="J82" s="15">
        <f>'Areal - Budsjett 2020'!J128</f>
        <v>3000</v>
      </c>
      <c r="K82" s="15">
        <f>'Areal - Budsjett 2020'!K128</f>
        <v>3000</v>
      </c>
      <c r="L82" s="15">
        <f>'Areal - Budsjett 2020'!L128</f>
        <v>3000</v>
      </c>
      <c r="M82" s="15">
        <f>'Areal - Budsjett 2020'!M128</f>
        <v>3000</v>
      </c>
      <c r="N82" s="15">
        <f>'Areal - Budsjett 2020'!N128</f>
        <v>3000</v>
      </c>
      <c r="O82" s="15">
        <f>'Areal - Budsjett 2020'!O128</f>
        <v>3000</v>
      </c>
      <c r="P82" s="15">
        <f>SUM(D82:O82)</f>
        <v>36000</v>
      </c>
    </row>
    <row r="83" spans="1:17" x14ac:dyDescent="0.3">
      <c r="A83" s="22"/>
      <c r="B83" s="43" t="s">
        <v>127</v>
      </c>
      <c r="C83" s="14">
        <f>P83/$P$6</f>
        <v>4.607980586698996E-3</v>
      </c>
      <c r="D83" s="15">
        <f>'Fritzøe - budsj 2020'!D142</f>
        <v>17133.333333333336</v>
      </c>
      <c r="E83" s="15">
        <f>'Fritzøe - budsj 2020'!E142</f>
        <v>17133.333333333336</v>
      </c>
      <c r="F83" s="15">
        <f>'Fritzøe - budsj 2020'!F142</f>
        <v>17133.333333333336</v>
      </c>
      <c r="G83" s="15">
        <f>'Fritzøe - budsj 2020'!G142</f>
        <v>17133.333333333336</v>
      </c>
      <c r="H83" s="15">
        <f>'Fritzøe - budsj 2020'!H142</f>
        <v>17133.333333333336</v>
      </c>
      <c r="I83" s="15">
        <f>'Fritzøe - budsj 2020'!I142</f>
        <v>17133.333333333336</v>
      </c>
      <c r="J83" s="15">
        <f>'Fritzøe - budsj 2020'!J142</f>
        <v>17133.333333333336</v>
      </c>
      <c r="K83" s="15">
        <f>'Fritzøe - budsj 2020'!K142</f>
        <v>17133.333333333336</v>
      </c>
      <c r="L83" s="15">
        <f>'Fritzøe - budsj 2020'!L142</f>
        <v>17133.333333333336</v>
      </c>
      <c r="M83" s="15">
        <f>'Fritzøe - budsj 2020'!M142</f>
        <v>17133.333333333336</v>
      </c>
      <c r="N83" s="15">
        <f>'Fritzøe - budsj 2020'!N142</f>
        <v>17133.333333333336</v>
      </c>
      <c r="O83" s="15">
        <f>'Fritzøe - budsj 2020'!O142</f>
        <v>17133.333333333336</v>
      </c>
      <c r="P83" s="15">
        <f>SUM(D83:O83)</f>
        <v>205600.00000000009</v>
      </c>
    </row>
    <row r="84" spans="1:17" s="7" customFormat="1" x14ac:dyDescent="0.3">
      <c r="A84" s="23"/>
      <c r="B84" s="20" t="s">
        <v>110</v>
      </c>
      <c r="C84" s="26">
        <f>P84/$P$7</f>
        <v>3.2777849638850956E-3</v>
      </c>
      <c r="D84" s="17">
        <f t="shared" ref="D84:P84" si="17">SUM(D82:D83)</f>
        <v>20133.333333333336</v>
      </c>
      <c r="E84" s="17">
        <f t="shared" si="17"/>
        <v>20133.333333333336</v>
      </c>
      <c r="F84" s="17">
        <f t="shared" si="17"/>
        <v>20133.333333333336</v>
      </c>
      <c r="G84" s="17">
        <f t="shared" si="17"/>
        <v>20133.333333333336</v>
      </c>
      <c r="H84" s="17">
        <f t="shared" si="17"/>
        <v>20133.333333333336</v>
      </c>
      <c r="I84" s="17">
        <f t="shared" si="17"/>
        <v>20133.333333333336</v>
      </c>
      <c r="J84" s="17">
        <f t="shared" si="17"/>
        <v>20133.333333333336</v>
      </c>
      <c r="K84" s="17">
        <f t="shared" si="17"/>
        <v>20133.333333333336</v>
      </c>
      <c r="L84" s="17">
        <f t="shared" si="17"/>
        <v>20133.333333333336</v>
      </c>
      <c r="M84" s="17">
        <f t="shared" si="17"/>
        <v>20133.333333333336</v>
      </c>
      <c r="N84" s="17">
        <f t="shared" si="17"/>
        <v>20133.333333333336</v>
      </c>
      <c r="O84" s="17">
        <f t="shared" si="17"/>
        <v>20133.333333333336</v>
      </c>
      <c r="P84" s="17">
        <f t="shared" si="17"/>
        <v>241600.00000000009</v>
      </c>
    </row>
    <row r="85" spans="1:17" s="7" customFormat="1" x14ac:dyDescent="0.3">
      <c r="A85" s="23"/>
      <c r="B85" s="23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7" x14ac:dyDescent="0.3">
      <c r="A86" s="23" t="s">
        <v>115</v>
      </c>
      <c r="B86" s="21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7" x14ac:dyDescent="0.3">
      <c r="A87" s="23"/>
      <c r="B87" s="43" t="s">
        <v>126</v>
      </c>
      <c r="C87" s="14">
        <f>P87/$P$5</f>
        <v>2.0625595309467374E-3</v>
      </c>
      <c r="D87" s="15">
        <f>'Areal - Budsjett 2020'!D132</f>
        <v>5000</v>
      </c>
      <c r="E87" s="15">
        <f>'Areal - Budsjett 2020'!E132</f>
        <v>5000</v>
      </c>
      <c r="F87" s="15">
        <f>'Areal - Budsjett 2020'!F132</f>
        <v>5000</v>
      </c>
      <c r="G87" s="15">
        <f>'Areal - Budsjett 2020'!G132</f>
        <v>5000</v>
      </c>
      <c r="H87" s="15">
        <f>'Areal - Budsjett 2020'!H132</f>
        <v>5000</v>
      </c>
      <c r="I87" s="15">
        <f>'Areal - Budsjett 2020'!I132</f>
        <v>5000</v>
      </c>
      <c r="J87" s="15">
        <f>'Areal - Budsjett 2020'!J132</f>
        <v>5000</v>
      </c>
      <c r="K87" s="15">
        <f>'Areal - Budsjett 2020'!K132</f>
        <v>5000</v>
      </c>
      <c r="L87" s="15">
        <f>'Areal - Budsjett 2020'!L132</f>
        <v>5000</v>
      </c>
      <c r="M87" s="15">
        <f>'Areal - Budsjett 2020'!M132</f>
        <v>5000</v>
      </c>
      <c r="N87" s="15">
        <f>'Areal - Budsjett 2020'!N132</f>
        <v>5000</v>
      </c>
      <c r="O87" s="15">
        <f>'Areal - Budsjett 2020'!O132</f>
        <v>5000</v>
      </c>
      <c r="P87" s="15">
        <f>SUM(D87:O87)</f>
        <v>60000</v>
      </c>
    </row>
    <row r="88" spans="1:17" x14ac:dyDescent="0.3">
      <c r="A88" s="23"/>
      <c r="B88" s="43" t="s">
        <v>127</v>
      </c>
      <c r="C88" s="14">
        <f>P88/$P$6</f>
        <v>6.7237070817592322E-4</v>
      </c>
      <c r="D88" s="15">
        <f>'Fritzøe - budsj 2020'!D146</f>
        <v>2500</v>
      </c>
      <c r="E88" s="15">
        <f>'Fritzøe - budsj 2020'!E146</f>
        <v>2500</v>
      </c>
      <c r="F88" s="15">
        <f>'Fritzøe - budsj 2020'!F146</f>
        <v>2500</v>
      </c>
      <c r="G88" s="15">
        <f>'Fritzøe - budsj 2020'!G146</f>
        <v>2500</v>
      </c>
      <c r="H88" s="15">
        <f>'Fritzøe - budsj 2020'!H146</f>
        <v>2500</v>
      </c>
      <c r="I88" s="15">
        <f>'Fritzøe - budsj 2020'!I146</f>
        <v>2500</v>
      </c>
      <c r="J88" s="15">
        <f>'Fritzøe - budsj 2020'!J146</f>
        <v>2500</v>
      </c>
      <c r="K88" s="15">
        <f>'Fritzøe - budsj 2020'!K146</f>
        <v>2500</v>
      </c>
      <c r="L88" s="15">
        <f>'Fritzøe - budsj 2020'!L146</f>
        <v>2500</v>
      </c>
      <c r="M88" s="15">
        <f>'Fritzøe - budsj 2020'!M146</f>
        <v>2500</v>
      </c>
      <c r="N88" s="15">
        <f>'Fritzøe - budsj 2020'!N146</f>
        <v>2500</v>
      </c>
      <c r="O88" s="15">
        <f>'Fritzøe - budsj 2020'!O146</f>
        <v>2500</v>
      </c>
      <c r="P88" s="15">
        <f>SUM(D88:O88)</f>
        <v>30000</v>
      </c>
    </row>
    <row r="89" spans="1:17" s="7" customFormat="1" x14ac:dyDescent="0.3">
      <c r="A89" s="23"/>
      <c r="B89" s="20" t="s">
        <v>116</v>
      </c>
      <c r="C89" s="26">
        <f>P89/$P$7</f>
        <v>1.2210291670101759E-3</v>
      </c>
      <c r="D89" s="17">
        <f t="shared" ref="D89:P89" si="18">SUM(D87:D88)</f>
        <v>7500</v>
      </c>
      <c r="E89" s="17">
        <f t="shared" si="18"/>
        <v>7500</v>
      </c>
      <c r="F89" s="17">
        <f t="shared" si="18"/>
        <v>7500</v>
      </c>
      <c r="G89" s="17">
        <f t="shared" si="18"/>
        <v>7500</v>
      </c>
      <c r="H89" s="17">
        <f t="shared" si="18"/>
        <v>7500</v>
      </c>
      <c r="I89" s="17">
        <f t="shared" si="18"/>
        <v>7500</v>
      </c>
      <c r="J89" s="17">
        <f t="shared" si="18"/>
        <v>7500</v>
      </c>
      <c r="K89" s="17">
        <f t="shared" si="18"/>
        <v>7500</v>
      </c>
      <c r="L89" s="17">
        <f t="shared" si="18"/>
        <v>7500</v>
      </c>
      <c r="M89" s="17">
        <f t="shared" si="18"/>
        <v>7500</v>
      </c>
      <c r="N89" s="17">
        <f t="shared" si="18"/>
        <v>7500</v>
      </c>
      <c r="O89" s="17">
        <f t="shared" si="18"/>
        <v>7500</v>
      </c>
      <c r="P89" s="17">
        <f t="shared" si="18"/>
        <v>90000</v>
      </c>
    </row>
    <row r="90" spans="1:17" x14ac:dyDescent="0.3">
      <c r="A90" s="18"/>
      <c r="B90" s="24"/>
      <c r="C90" s="18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7" x14ac:dyDescent="0.3">
      <c r="A91" s="23" t="s">
        <v>16</v>
      </c>
      <c r="B91" s="24"/>
      <c r="C91" s="18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7" x14ac:dyDescent="0.3">
      <c r="A92" s="23"/>
      <c r="B92" s="43" t="s">
        <v>126</v>
      </c>
      <c r="C92" s="75">
        <f>'Areal - Budsjett 2020'!C136</f>
        <v>6.6669612698924269E-2</v>
      </c>
      <c r="D92" s="46">
        <f>'Areal - Budsjett 2020'!D136</f>
        <v>262728.29295333277</v>
      </c>
      <c r="E92" s="46">
        <f>'Areal - Budsjett 2020'!E136</f>
        <v>297940.75743616757</v>
      </c>
      <c r="F92" s="46">
        <f>'Areal - Budsjett 2020'!F136</f>
        <v>266860.16099887562</v>
      </c>
      <c r="G92" s="46">
        <f>'Areal - Budsjett 2020'!G136</f>
        <v>-99730.463365482079</v>
      </c>
      <c r="H92" s="46">
        <f>'Areal - Budsjett 2020'!H136</f>
        <v>119557.09614818182</v>
      </c>
      <c r="I92" s="46">
        <f>'Areal - Budsjett 2020'!I136</f>
        <v>187685.54681743949</v>
      </c>
      <c r="J92" s="46">
        <f>'Areal - Budsjett 2020'!J136</f>
        <v>-50068.610892169672</v>
      </c>
      <c r="K92" s="46">
        <f>'Areal - Budsjett 2020'!K136</f>
        <v>237795.0975470735</v>
      </c>
      <c r="L92" s="46">
        <f>'Areal - Budsjett 2020'!L136</f>
        <v>424322.84205711738</v>
      </c>
      <c r="M92" s="46">
        <f>'Areal - Budsjett 2020'!M136</f>
        <v>263344.2738163973</v>
      </c>
      <c r="N92" s="46">
        <f>'Areal - Budsjett 2020'!N136</f>
        <v>55389.230057883193</v>
      </c>
      <c r="O92" s="46">
        <f>'Areal - Budsjett 2020'!O136</f>
        <v>-43800.559958507452</v>
      </c>
      <c r="P92" s="15">
        <f>'Areal - Budsjett 2020'!P136</f>
        <v>1939423.6636163089</v>
      </c>
    </row>
    <row r="93" spans="1:17" x14ac:dyDescent="0.3">
      <c r="A93" s="23"/>
      <c r="B93" s="43" t="s">
        <v>127</v>
      </c>
      <c r="C93" s="75">
        <f>'Fritzøe - budsjett service'!C150</f>
        <v>2.2691495314464183E-2</v>
      </c>
      <c r="D93" s="46">
        <f>'Fritzøe - budsj 2020'!D150</f>
        <v>44999.699719586293</v>
      </c>
      <c r="E93" s="46">
        <f>'Fritzøe - budsj 2020'!E150</f>
        <v>103757.66122414113</v>
      </c>
      <c r="F93" s="46">
        <f>'Fritzøe - budsj 2020'!F150</f>
        <v>476547.1760763108</v>
      </c>
      <c r="G93" s="46">
        <f>'Fritzøe - budsj 2020'!G150</f>
        <v>-104345.5266382246</v>
      </c>
      <c r="H93" s="46">
        <f>'Fritzøe - budsj 2020'!H150</f>
        <v>-110969.32898848702</v>
      </c>
      <c r="I93" s="46">
        <f>'Fritzøe - budsj 2020'!I150</f>
        <v>495956.8664390092</v>
      </c>
      <c r="J93" s="46">
        <f>'Fritzøe - budsj 2020'!J150</f>
        <v>-49271.446565664839</v>
      </c>
      <c r="K93" s="46">
        <f>'Fritzøe - budsj 2020'!K150</f>
        <v>432669.16038551053</v>
      </c>
      <c r="L93" s="46">
        <f>'Fritzøe - budsj 2020'!L150</f>
        <v>756484.87553007749</v>
      </c>
      <c r="M93" s="46">
        <f>'Fritzøe - budsj 2020'!M150</f>
        <v>519342.27793203539</v>
      </c>
      <c r="N93" s="46">
        <f>'Fritzøe - budsj 2020'!N150</f>
        <v>-221507.56248644285</v>
      </c>
      <c r="O93" s="46">
        <f>'Fritzøe - budsj 2020'!O150</f>
        <v>-294231.05555497657</v>
      </c>
      <c r="P93" s="46">
        <f>'Fritzøe - budsj 2020'!P150</f>
        <v>2049432.7970728725</v>
      </c>
    </row>
    <row r="94" spans="1:17" x14ac:dyDescent="0.3">
      <c r="A94" s="23"/>
      <c r="B94" s="23" t="s">
        <v>165</v>
      </c>
      <c r="C94" s="57">
        <f>P94/P7</f>
        <v>5.4116778683538556E-2</v>
      </c>
      <c r="D94" s="16">
        <f t="shared" ref="D94:P94" si="19">SUM(D92:D93)</f>
        <v>307727.99267291906</v>
      </c>
      <c r="E94" s="16">
        <f t="shared" si="19"/>
        <v>401698.4186603087</v>
      </c>
      <c r="F94" s="16">
        <f t="shared" si="19"/>
        <v>743407.33707518643</v>
      </c>
      <c r="G94" s="16">
        <f t="shared" si="19"/>
        <v>-204075.99000370668</v>
      </c>
      <c r="H94" s="16">
        <f t="shared" si="19"/>
        <v>8587.7671596948057</v>
      </c>
      <c r="I94" s="16">
        <f t="shared" si="19"/>
        <v>683642.41325644869</v>
      </c>
      <c r="J94" s="16">
        <f t="shared" si="19"/>
        <v>-99340.057457834511</v>
      </c>
      <c r="K94" s="16">
        <f t="shared" si="19"/>
        <v>670464.25793258403</v>
      </c>
      <c r="L94" s="16">
        <f t="shared" si="19"/>
        <v>1180807.7175871949</v>
      </c>
      <c r="M94" s="16">
        <f t="shared" si="19"/>
        <v>782686.55174843268</v>
      </c>
      <c r="N94" s="16">
        <f t="shared" si="19"/>
        <v>-166118.33242855966</v>
      </c>
      <c r="O94" s="16">
        <f t="shared" si="19"/>
        <v>-338031.61551348399</v>
      </c>
      <c r="P94" s="17">
        <f t="shared" si="19"/>
        <v>3988856.4606891815</v>
      </c>
      <c r="Q94" s="118"/>
    </row>
    <row r="95" spans="1:17" x14ac:dyDescent="0.3">
      <c r="A95" s="29"/>
      <c r="B95" s="21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7" x14ac:dyDescent="0.3">
      <c r="A96" s="23" t="s">
        <v>17</v>
      </c>
      <c r="B96" s="21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ht="11.25" customHeight="1" outlineLevel="1" x14ac:dyDescent="0.3">
      <c r="A97" s="22"/>
      <c r="B97" s="43" t="s">
        <v>126</v>
      </c>
      <c r="C97" s="14">
        <f>P97/$P$5</f>
        <v>-2.8875833433254322E-4</v>
      </c>
      <c r="D97" s="15">
        <f>'Areal - Budsjett 2020'!D143</f>
        <v>-700</v>
      </c>
      <c r="E97" s="15">
        <f>'Areal - Budsjett 2020'!E143</f>
        <v>-700</v>
      </c>
      <c r="F97" s="15">
        <f>'Areal - Budsjett 2020'!F143</f>
        <v>-700</v>
      </c>
      <c r="G97" s="15">
        <f>'Areal - Budsjett 2020'!G143</f>
        <v>-700</v>
      </c>
      <c r="H97" s="15">
        <f>'Areal - Budsjett 2020'!H143</f>
        <v>-700</v>
      </c>
      <c r="I97" s="15">
        <f>'Areal - Budsjett 2020'!I143</f>
        <v>-700</v>
      </c>
      <c r="J97" s="15">
        <f>'Areal - Budsjett 2020'!J143</f>
        <v>-700</v>
      </c>
      <c r="K97" s="15">
        <f>'Areal - Budsjett 2020'!K143</f>
        <v>-700</v>
      </c>
      <c r="L97" s="15">
        <f>'Areal - Budsjett 2020'!L143</f>
        <v>-700</v>
      </c>
      <c r="M97" s="15">
        <f>'Areal - Budsjett 2020'!M143</f>
        <v>-700</v>
      </c>
      <c r="N97" s="15">
        <f>'Areal - Budsjett 2020'!N143</f>
        <v>-700</v>
      </c>
      <c r="O97" s="15">
        <f>'Areal - Budsjett 2020'!O143</f>
        <v>-700</v>
      </c>
      <c r="P97" s="15">
        <f>SUM(D97:O97)</f>
        <v>-8400</v>
      </c>
    </row>
    <row r="98" spans="1:16" outlineLevel="1" x14ac:dyDescent="0.3">
      <c r="A98" s="22"/>
      <c r="B98" s="43" t="s">
        <v>127</v>
      </c>
      <c r="C98" s="14">
        <f>P98/$P$6</f>
        <v>-2.6894828327036927E-4</v>
      </c>
      <c r="D98" s="15">
        <f>'Fritzøe - budsj 2020'!D158</f>
        <v>-1000</v>
      </c>
      <c r="E98" s="15">
        <f>'Fritzøe - budsj 2020'!E158</f>
        <v>-1000</v>
      </c>
      <c r="F98" s="15">
        <f>'Fritzøe - budsj 2020'!F158</f>
        <v>-1000</v>
      </c>
      <c r="G98" s="15">
        <f>'Fritzøe - budsj 2020'!G158</f>
        <v>-1000</v>
      </c>
      <c r="H98" s="15">
        <f>'Fritzøe - budsj 2020'!H158</f>
        <v>-1000</v>
      </c>
      <c r="I98" s="15">
        <f>'Fritzøe - budsj 2020'!I158</f>
        <v>-1000</v>
      </c>
      <c r="J98" s="15">
        <f>'Fritzøe - budsj 2020'!J158</f>
        <v>-1000</v>
      </c>
      <c r="K98" s="15">
        <f>'Fritzøe - budsj 2020'!K158</f>
        <v>-1000</v>
      </c>
      <c r="L98" s="15">
        <f>'Fritzøe - budsj 2020'!L158</f>
        <v>-1000</v>
      </c>
      <c r="M98" s="15">
        <f>'Fritzøe - budsj 2020'!M158</f>
        <v>-1000</v>
      </c>
      <c r="N98" s="15">
        <f>'Fritzøe - budsj 2020'!N158</f>
        <v>-1000</v>
      </c>
      <c r="O98" s="15">
        <f>'Fritzøe - budsj 2020'!O158</f>
        <v>-1000</v>
      </c>
      <c r="P98" s="15">
        <f>SUM(D98:O98)</f>
        <v>-12000</v>
      </c>
    </row>
    <row r="99" spans="1:16" outlineLevel="1" x14ac:dyDescent="0.3">
      <c r="A99" s="9"/>
      <c r="B99" s="20" t="s">
        <v>39</v>
      </c>
      <c r="C99" s="26">
        <f>P99/$P$7</f>
        <v>-2.767666111889732E-4</v>
      </c>
      <c r="D99" s="17">
        <f t="shared" ref="D99:P99" si="20">SUM(D97:D98)</f>
        <v>-1700</v>
      </c>
      <c r="E99" s="17">
        <f t="shared" si="20"/>
        <v>-1700</v>
      </c>
      <c r="F99" s="17">
        <f t="shared" si="20"/>
        <v>-1700</v>
      </c>
      <c r="G99" s="17">
        <f t="shared" si="20"/>
        <v>-1700</v>
      </c>
      <c r="H99" s="17">
        <f t="shared" si="20"/>
        <v>-1700</v>
      </c>
      <c r="I99" s="17">
        <f t="shared" si="20"/>
        <v>-1700</v>
      </c>
      <c r="J99" s="17">
        <f t="shared" si="20"/>
        <v>-1700</v>
      </c>
      <c r="K99" s="17">
        <f t="shared" si="20"/>
        <v>-1700</v>
      </c>
      <c r="L99" s="17">
        <f t="shared" si="20"/>
        <v>-1700</v>
      </c>
      <c r="M99" s="17">
        <f t="shared" si="20"/>
        <v>-1700</v>
      </c>
      <c r="N99" s="17">
        <f t="shared" si="20"/>
        <v>-1700</v>
      </c>
      <c r="O99" s="17">
        <f t="shared" si="20"/>
        <v>-1700</v>
      </c>
      <c r="P99" s="17">
        <f t="shared" si="20"/>
        <v>-20400</v>
      </c>
    </row>
    <row r="100" spans="1:16" x14ac:dyDescent="0.3">
      <c r="A100" s="9"/>
      <c r="B100" s="24"/>
      <c r="C100" s="18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1:16" x14ac:dyDescent="0.3">
      <c r="A101" s="23" t="s">
        <v>22</v>
      </c>
      <c r="B101" s="24"/>
      <c r="C101" s="18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 spans="1:16" x14ac:dyDescent="0.3">
      <c r="A102" s="23"/>
      <c r="B102" s="43" t="s">
        <v>126</v>
      </c>
      <c r="C102" s="18"/>
      <c r="D102" s="46">
        <f>'Areal - Budsjett 2020'!D145</f>
        <v>263428.29295333277</v>
      </c>
      <c r="E102" s="46">
        <f>'Areal - Budsjett 2020'!E145</f>
        <v>298640.75743616757</v>
      </c>
      <c r="F102" s="46">
        <f>'Areal - Budsjett 2020'!F145</f>
        <v>267560.16099887562</v>
      </c>
      <c r="G102" s="46">
        <f>'Areal - Budsjett 2020'!G145</f>
        <v>-99030.463365482079</v>
      </c>
      <c r="H102" s="46">
        <f>'Areal - Budsjett 2020'!H145</f>
        <v>120257.09614818182</v>
      </c>
      <c r="I102" s="46">
        <f>'Areal - Budsjett 2020'!I145</f>
        <v>188385.54681743949</v>
      </c>
      <c r="J102" s="46">
        <f>'Areal - Budsjett 2020'!J145</f>
        <v>-49368.610892169672</v>
      </c>
      <c r="K102" s="46">
        <f>'Areal - Budsjett 2020'!K145</f>
        <v>238495.0975470735</v>
      </c>
      <c r="L102" s="46">
        <f>'Areal - Budsjett 2020'!L145</f>
        <v>425022.84205711738</v>
      </c>
      <c r="M102" s="46">
        <f>'Areal - Budsjett 2020'!M145</f>
        <v>264044.2738163973</v>
      </c>
      <c r="N102" s="46">
        <f>'Areal - Budsjett 2020'!N145</f>
        <v>56089.230057883193</v>
      </c>
      <c r="O102" s="46">
        <f>'Areal - Budsjett 2020'!O145</f>
        <v>-43100.559958507452</v>
      </c>
      <c r="P102" s="46">
        <f>'Areal - Budsjett 2020'!P145</f>
        <v>1947823.6636163089</v>
      </c>
    </row>
    <row r="103" spans="1:16" x14ac:dyDescent="0.3">
      <c r="A103" s="23"/>
      <c r="B103" s="43" t="s">
        <v>127</v>
      </c>
      <c r="C103" s="18"/>
      <c r="D103" s="46">
        <f>'Fritzøe - budsj 2020'!D160</f>
        <v>45999.699719586293</v>
      </c>
      <c r="E103" s="46">
        <f>'Fritzøe - budsj 2020'!E160</f>
        <v>104757.66122414113</v>
      </c>
      <c r="F103" s="46">
        <f>'Fritzøe - budsj 2020'!F160</f>
        <v>477547.1760763108</v>
      </c>
      <c r="G103" s="46">
        <f>'Fritzøe - budsj 2020'!G160</f>
        <v>-103345.5266382246</v>
      </c>
      <c r="H103" s="46">
        <f>'Fritzøe - budsj 2020'!H160</f>
        <v>-109969.32898848702</v>
      </c>
      <c r="I103" s="46">
        <f>'Fritzøe - budsj 2020'!I160</f>
        <v>496956.8664390092</v>
      </c>
      <c r="J103" s="46">
        <f>'Fritzøe - budsj 2020'!J160</f>
        <v>-48271.446565664839</v>
      </c>
      <c r="K103" s="46">
        <f>'Fritzøe - budsj 2020'!K160</f>
        <v>433669.16038551053</v>
      </c>
      <c r="L103" s="46">
        <f>'Fritzøe - budsj 2020'!L160</f>
        <v>757484.87553007749</v>
      </c>
      <c r="M103" s="46">
        <f>'Fritzøe - budsj 2020'!M160</f>
        <v>520342.27793203539</v>
      </c>
      <c r="N103" s="46">
        <f>'Fritzøe - budsj 2020'!N160</f>
        <v>-220507.56248644285</v>
      </c>
      <c r="O103" s="46">
        <f>'Fritzøe - budsj 2020'!O160</f>
        <v>-293231.05555497657</v>
      </c>
      <c r="P103" s="46">
        <f>'Fritzøe - budsj 2020'!P160</f>
        <v>2061432.7970728725</v>
      </c>
    </row>
    <row r="104" spans="1:16" x14ac:dyDescent="0.3">
      <c r="A104" s="9"/>
      <c r="B104" s="24" t="s">
        <v>166</v>
      </c>
      <c r="C104" s="56">
        <f>P104/$P$7</f>
        <v>5.4393545294727529E-2</v>
      </c>
      <c r="D104" s="16">
        <f t="shared" ref="D104:P104" si="21">SUM(D102:D103)</f>
        <v>309427.99267291906</v>
      </c>
      <c r="E104" s="16">
        <f t="shared" si="21"/>
        <v>403398.4186603087</v>
      </c>
      <c r="F104" s="16">
        <f t="shared" si="21"/>
        <v>745107.33707518643</v>
      </c>
      <c r="G104" s="16">
        <f t="shared" si="21"/>
        <v>-202375.99000370668</v>
      </c>
      <c r="H104" s="16">
        <f t="shared" si="21"/>
        <v>10287.767159694806</v>
      </c>
      <c r="I104" s="16">
        <f t="shared" si="21"/>
        <v>685342.41325644869</v>
      </c>
      <c r="J104" s="16">
        <f t="shared" si="21"/>
        <v>-97640.057457834511</v>
      </c>
      <c r="K104" s="16">
        <f t="shared" si="21"/>
        <v>672164.25793258403</v>
      </c>
      <c r="L104" s="16">
        <f t="shared" si="21"/>
        <v>1182507.7175871949</v>
      </c>
      <c r="M104" s="16">
        <f t="shared" si="21"/>
        <v>784386.55174843268</v>
      </c>
      <c r="N104" s="16">
        <f t="shared" si="21"/>
        <v>-164418.33242855966</v>
      </c>
      <c r="O104" s="16">
        <f t="shared" si="21"/>
        <v>-336331.61551348399</v>
      </c>
      <c r="P104" s="16">
        <f t="shared" si="21"/>
        <v>4009256.4606891815</v>
      </c>
    </row>
    <row r="105" spans="1:16" x14ac:dyDescent="0.3">
      <c r="A105" s="9"/>
      <c r="B105" s="24"/>
      <c r="C105" s="18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</row>
    <row r="106" spans="1:16" x14ac:dyDescent="0.3">
      <c r="A106" s="23" t="s">
        <v>23</v>
      </c>
      <c r="B106" s="24"/>
      <c r="C106" s="18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 spans="1:16" x14ac:dyDescent="0.3">
      <c r="A107" s="23"/>
      <c r="B107" s="43" t="s">
        <v>126</v>
      </c>
      <c r="C107" s="18"/>
      <c r="D107" s="46">
        <f>'Areal - Budsjett 2020'!D147</f>
        <v>263428.29295333277</v>
      </c>
      <c r="E107" s="46">
        <f>'Areal - Budsjett 2020'!E147</f>
        <v>562069.05038950033</v>
      </c>
      <c r="F107" s="46">
        <f>'Areal - Budsjett 2020'!F147</f>
        <v>829629.21138837596</v>
      </c>
      <c r="G107" s="46">
        <f>'Areal - Budsjett 2020'!G147</f>
        <v>730598.74802289391</v>
      </c>
      <c r="H107" s="46">
        <f>'Areal - Budsjett 2020'!H147</f>
        <v>850855.84417107573</v>
      </c>
      <c r="I107" s="46">
        <f>'Areal - Budsjett 2020'!I147</f>
        <v>1039241.3909885152</v>
      </c>
      <c r="J107" s="46">
        <f>'Areal - Budsjett 2020'!J147</f>
        <v>989872.78009634558</v>
      </c>
      <c r="K107" s="46">
        <f>'Areal - Budsjett 2020'!K147</f>
        <v>1228367.877643419</v>
      </c>
      <c r="L107" s="46">
        <f>'Areal - Budsjett 2020'!L147</f>
        <v>1653390.7197005362</v>
      </c>
      <c r="M107" s="46">
        <f>'Areal - Budsjett 2020'!M147</f>
        <v>1917434.9935169336</v>
      </c>
      <c r="N107" s="46">
        <f>'Areal - Budsjett 2020'!N147</f>
        <v>1973524.2235748167</v>
      </c>
      <c r="O107" s="46">
        <f>'Areal - Budsjett 2020'!O147</f>
        <v>1930423.6636163092</v>
      </c>
      <c r="P107" s="46">
        <f>'Areal - Budsjett 2020'!P147</f>
        <v>1930423.6636163092</v>
      </c>
    </row>
    <row r="108" spans="1:16" x14ac:dyDescent="0.3">
      <c r="A108" s="23"/>
      <c r="B108" s="43" t="s">
        <v>127</v>
      </c>
      <c r="C108" s="18"/>
      <c r="D108" s="46">
        <f>'Fritzøe - budsj 2020'!D162</f>
        <v>45999.699719586293</v>
      </c>
      <c r="E108" s="46">
        <f>'Fritzøe - budsj 2020'!E162</f>
        <v>150757.36094372743</v>
      </c>
      <c r="F108" s="46">
        <f>'Fritzøe - budsj 2020'!F162</f>
        <v>628304.53702003823</v>
      </c>
      <c r="G108" s="46">
        <f>'Fritzøe - budsj 2020'!G162</f>
        <v>524959.01038181363</v>
      </c>
      <c r="H108" s="46">
        <f>'Fritzøe - budsj 2020'!H162</f>
        <v>414989.68139332661</v>
      </c>
      <c r="I108" s="46">
        <f>'Fritzøe - budsj 2020'!I162</f>
        <v>911946.54783233581</v>
      </c>
      <c r="J108" s="46">
        <f>'Fritzøe - budsj 2020'!J162</f>
        <v>863675.10126667097</v>
      </c>
      <c r="K108" s="46">
        <f>'Fritzøe - budsj 2020'!K162</f>
        <v>1297344.2616521814</v>
      </c>
      <c r="L108" s="46">
        <f>'Fritzøe - budsj 2020'!L162</f>
        <v>2054829.137182259</v>
      </c>
      <c r="M108" s="46">
        <f>'Fritzøe - budsj 2020'!M162</f>
        <v>2575171.4151142943</v>
      </c>
      <c r="N108" s="46">
        <f>'Fritzøe - budsj 2020'!N162</f>
        <v>2354663.8526278515</v>
      </c>
      <c r="O108" s="46">
        <f>'Fritzøe - budsj 2020'!O162</f>
        <v>2061432.7970728748</v>
      </c>
      <c r="P108" s="46">
        <f>'Fritzøe - budsj 2020'!P162</f>
        <v>2061432.7970728748</v>
      </c>
    </row>
    <row r="109" spans="1:16" x14ac:dyDescent="0.3">
      <c r="A109" s="9"/>
      <c r="B109" s="24" t="s">
        <v>167</v>
      </c>
      <c r="C109" s="18"/>
      <c r="D109" s="16">
        <f t="shared" ref="D109:P109" si="22">SUM(D107:D108)</f>
        <v>309427.99267291906</v>
      </c>
      <c r="E109" s="16">
        <f t="shared" si="22"/>
        <v>712826.41133322776</v>
      </c>
      <c r="F109" s="16">
        <f t="shared" si="22"/>
        <v>1457933.7484084142</v>
      </c>
      <c r="G109" s="16">
        <f t="shared" si="22"/>
        <v>1255557.7584047075</v>
      </c>
      <c r="H109" s="16">
        <f t="shared" si="22"/>
        <v>1265845.5255644023</v>
      </c>
      <c r="I109" s="16">
        <f t="shared" si="22"/>
        <v>1951187.938820851</v>
      </c>
      <c r="J109" s="16">
        <f t="shared" si="22"/>
        <v>1853547.8813630166</v>
      </c>
      <c r="K109" s="16">
        <f t="shared" si="22"/>
        <v>2525712.1392956004</v>
      </c>
      <c r="L109" s="16">
        <f t="shared" si="22"/>
        <v>3708219.8568827952</v>
      </c>
      <c r="M109" s="16">
        <f t="shared" si="22"/>
        <v>4492606.4086312279</v>
      </c>
      <c r="N109" s="16">
        <f t="shared" si="22"/>
        <v>4328188.0762026682</v>
      </c>
      <c r="O109" s="16">
        <f t="shared" si="22"/>
        <v>3991856.4606891843</v>
      </c>
      <c r="P109" s="16">
        <f t="shared" si="22"/>
        <v>3991856.4606891843</v>
      </c>
    </row>
    <row r="110" spans="1:16" x14ac:dyDescent="0.3"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6"/>
    </row>
    <row r="111" spans="1:16" x14ac:dyDescent="0.3"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6"/>
    </row>
    <row r="112" spans="1:16" ht="15.45" x14ac:dyDescent="0.4">
      <c r="B112" s="12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6"/>
    </row>
    <row r="113" spans="3:16" x14ac:dyDescent="0.3"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6"/>
    </row>
    <row r="114" spans="3:16" x14ac:dyDescent="0.3"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6"/>
    </row>
    <row r="115" spans="3:16" x14ac:dyDescent="0.3"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6"/>
    </row>
    <row r="116" spans="3:16" x14ac:dyDescent="0.3"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6"/>
    </row>
    <row r="117" spans="3:16" x14ac:dyDescent="0.3"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6"/>
    </row>
    <row r="118" spans="3:16" x14ac:dyDescent="0.3"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6"/>
    </row>
    <row r="119" spans="3:16" x14ac:dyDescent="0.3"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6"/>
    </row>
    <row r="120" spans="3:16" x14ac:dyDescent="0.3"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6"/>
    </row>
    <row r="121" spans="3:16" x14ac:dyDescent="0.3"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6"/>
    </row>
    <row r="122" spans="3:16" x14ac:dyDescent="0.3"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6"/>
    </row>
    <row r="123" spans="3:16" x14ac:dyDescent="0.3"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6"/>
    </row>
    <row r="124" spans="3:16" x14ac:dyDescent="0.3"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6"/>
    </row>
    <row r="125" spans="3:16" x14ac:dyDescent="0.3"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6"/>
    </row>
    <row r="126" spans="3:16" x14ac:dyDescent="0.3"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6"/>
    </row>
    <row r="127" spans="3:16" x14ac:dyDescent="0.3"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6"/>
    </row>
    <row r="128" spans="3:16" x14ac:dyDescent="0.3"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6"/>
    </row>
    <row r="129" spans="3:16" x14ac:dyDescent="0.3"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6"/>
    </row>
    <row r="130" spans="3:16" x14ac:dyDescent="0.3"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6"/>
    </row>
    <row r="131" spans="3:16" x14ac:dyDescent="0.3"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6"/>
    </row>
    <row r="132" spans="3:16" x14ac:dyDescent="0.3"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6"/>
    </row>
    <row r="133" spans="3:16" x14ac:dyDescent="0.3"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6"/>
    </row>
    <row r="134" spans="3:16" x14ac:dyDescent="0.3"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6"/>
    </row>
  </sheetData>
  <pageMargins left="0.27559055118110237" right="0.27559055118110237" top="0.27559055118110237" bottom="0.27559055118110237" header="0.31496062992125984" footer="0.31496062992125984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4"/>
  <sheetViews>
    <sheetView topLeftCell="A9" zoomScaleNormal="100" workbookViewId="0">
      <selection activeCell="O30" sqref="O30"/>
    </sheetView>
  </sheetViews>
  <sheetFormatPr baseColWidth="10" defaultRowHeight="12.45" x14ac:dyDescent="0.3"/>
  <cols>
    <col min="1" max="1" width="33.53515625" bestFit="1" customWidth="1"/>
    <col min="2" max="3" width="7" style="36" customWidth="1"/>
    <col min="4" max="6" width="4.07421875" style="48" customWidth="1"/>
    <col min="7" max="18" width="8.69140625" customWidth="1"/>
  </cols>
  <sheetData>
    <row r="1" spans="1:20" x14ac:dyDescent="0.3">
      <c r="A1" s="8" t="s">
        <v>42</v>
      </c>
      <c r="G1" s="58">
        <v>1</v>
      </c>
      <c r="H1" s="58">
        <v>0</v>
      </c>
      <c r="I1" s="58">
        <v>0</v>
      </c>
      <c r="J1" s="119">
        <v>3</v>
      </c>
      <c r="K1" s="58">
        <v>2</v>
      </c>
      <c r="L1" s="58">
        <v>1</v>
      </c>
      <c r="M1" s="58">
        <v>0</v>
      </c>
      <c r="N1" s="58">
        <v>0</v>
      </c>
      <c r="O1" s="58">
        <v>0</v>
      </c>
      <c r="P1" s="58">
        <v>0</v>
      </c>
      <c r="Q1" s="58">
        <v>0</v>
      </c>
      <c r="R1" s="58">
        <v>1</v>
      </c>
      <c r="S1" s="58">
        <f>SUM(G1:R1)</f>
        <v>8</v>
      </c>
      <c r="T1" s="62" t="s">
        <v>143</v>
      </c>
    </row>
    <row r="2" spans="1:20" x14ac:dyDescent="0.3">
      <c r="A2" s="8"/>
      <c r="G2" s="119">
        <v>22</v>
      </c>
      <c r="H2" s="119">
        <v>20</v>
      </c>
      <c r="I2" s="119">
        <v>22</v>
      </c>
      <c r="J2" s="119">
        <v>19</v>
      </c>
      <c r="K2" s="58">
        <v>19</v>
      </c>
      <c r="L2" s="58">
        <v>21</v>
      </c>
      <c r="M2" s="58">
        <v>23</v>
      </c>
      <c r="N2" s="58">
        <v>21</v>
      </c>
      <c r="O2" s="58">
        <v>22</v>
      </c>
      <c r="P2" s="58">
        <v>22</v>
      </c>
      <c r="Q2" s="58">
        <v>21</v>
      </c>
      <c r="R2" s="58">
        <v>22</v>
      </c>
      <c r="S2" s="58">
        <f>SUM(G2:R2)</f>
        <v>254</v>
      </c>
      <c r="T2" s="62" t="s">
        <v>144</v>
      </c>
    </row>
    <row r="3" spans="1:20" x14ac:dyDescent="0.3">
      <c r="A3" s="21"/>
      <c r="B3" s="65"/>
      <c r="G3" s="62"/>
      <c r="H3" s="62"/>
      <c r="I3" s="62"/>
      <c r="J3" s="62">
        <v>2</v>
      </c>
      <c r="K3" s="62"/>
      <c r="L3" s="62">
        <v>2</v>
      </c>
      <c r="M3" s="62">
        <v>13</v>
      </c>
      <c r="N3" s="62">
        <v>5</v>
      </c>
      <c r="O3" s="62"/>
      <c r="P3" s="62"/>
      <c r="Q3" s="62"/>
      <c r="R3" s="62">
        <v>3</v>
      </c>
      <c r="S3" s="62">
        <f>SUM(G3:R3)</f>
        <v>25</v>
      </c>
      <c r="T3" s="62" t="s">
        <v>139</v>
      </c>
    </row>
    <row r="4" spans="1:20" x14ac:dyDescent="0.3">
      <c r="A4" s="21" t="s">
        <v>43</v>
      </c>
      <c r="B4" s="55" t="s">
        <v>158</v>
      </c>
      <c r="C4" s="55" t="s">
        <v>160</v>
      </c>
      <c r="D4" s="48" t="s">
        <v>66</v>
      </c>
      <c r="E4" s="48" t="s">
        <v>67</v>
      </c>
      <c r="F4" s="48" t="s">
        <v>140</v>
      </c>
      <c r="G4" s="40" t="s">
        <v>25</v>
      </c>
      <c r="H4" s="40" t="s">
        <v>35</v>
      </c>
      <c r="I4" s="40" t="s">
        <v>26</v>
      </c>
      <c r="J4" s="40" t="s">
        <v>27</v>
      </c>
      <c r="K4" s="40" t="s">
        <v>2</v>
      </c>
      <c r="L4" s="40" t="s">
        <v>28</v>
      </c>
      <c r="M4" s="40" t="s">
        <v>29</v>
      </c>
      <c r="N4" s="40" t="s">
        <v>30</v>
      </c>
      <c r="O4" s="40" t="s">
        <v>31</v>
      </c>
      <c r="P4" s="40" t="s">
        <v>32</v>
      </c>
      <c r="Q4" s="40" t="s">
        <v>33</v>
      </c>
      <c r="R4" s="40" t="s">
        <v>34</v>
      </c>
      <c r="S4" s="40" t="s">
        <v>3</v>
      </c>
    </row>
    <row r="5" spans="1:20" x14ac:dyDescent="0.3">
      <c r="A5" s="24" t="s">
        <v>53</v>
      </c>
      <c r="B5" s="54">
        <f>(57500+6000)/162.5</f>
        <v>390.76923076923077</v>
      </c>
      <c r="C5" s="45">
        <v>7.5</v>
      </c>
      <c r="D5" s="49">
        <v>0</v>
      </c>
      <c r="E5" s="49">
        <v>0</v>
      </c>
      <c r="F5" s="49">
        <v>1</v>
      </c>
      <c r="G5" s="72">
        <f>(G$2-G$3)*$C5</f>
        <v>165</v>
      </c>
      <c r="H5" s="72">
        <f t="shared" ref="H5:R5" si="0">(H$2-H$3)*$C5</f>
        <v>150</v>
      </c>
      <c r="I5" s="72">
        <f t="shared" si="0"/>
        <v>165</v>
      </c>
      <c r="J5" s="72">
        <f t="shared" si="0"/>
        <v>127.5</v>
      </c>
      <c r="K5" s="72">
        <f t="shared" si="0"/>
        <v>142.5</v>
      </c>
      <c r="L5" s="72">
        <f t="shared" si="0"/>
        <v>142.5</v>
      </c>
      <c r="M5" s="72">
        <f t="shared" si="0"/>
        <v>75</v>
      </c>
      <c r="N5" s="72">
        <f t="shared" si="0"/>
        <v>120</v>
      </c>
      <c r="O5" s="72">
        <f t="shared" si="0"/>
        <v>165</v>
      </c>
      <c r="P5" s="72">
        <f t="shared" si="0"/>
        <v>165</v>
      </c>
      <c r="Q5" s="72">
        <f t="shared" si="0"/>
        <v>157.5</v>
      </c>
      <c r="R5" s="72">
        <f t="shared" si="0"/>
        <v>142.5</v>
      </c>
      <c r="S5" s="35">
        <f t="shared" ref="S5:S30" si="1">SUM(G5:R5)</f>
        <v>1717.5</v>
      </c>
    </row>
    <row r="6" spans="1:20" x14ac:dyDescent="0.3">
      <c r="A6" s="24" t="s">
        <v>138</v>
      </c>
      <c r="B6" s="54">
        <f>(50000+6000)/162.5</f>
        <v>344.61538461538464</v>
      </c>
      <c r="C6" s="45">
        <v>7.5</v>
      </c>
      <c r="D6" s="49"/>
      <c r="E6" s="49">
        <v>0.3</v>
      </c>
      <c r="F6" s="49">
        <v>0.7</v>
      </c>
      <c r="G6" s="72">
        <f>(G$2-G$3)*$C6</f>
        <v>165</v>
      </c>
      <c r="H6" s="72">
        <f t="shared" ref="H6:R7" si="2">(H$2-H$3)*$C6</f>
        <v>150</v>
      </c>
      <c r="I6" s="72">
        <f t="shared" si="2"/>
        <v>165</v>
      </c>
      <c r="J6" s="72">
        <f t="shared" si="2"/>
        <v>127.5</v>
      </c>
      <c r="K6" s="72">
        <f t="shared" si="2"/>
        <v>142.5</v>
      </c>
      <c r="L6" s="72">
        <f t="shared" si="2"/>
        <v>142.5</v>
      </c>
      <c r="M6" s="72">
        <f t="shared" si="2"/>
        <v>75</v>
      </c>
      <c r="N6" s="72">
        <f t="shared" si="2"/>
        <v>120</v>
      </c>
      <c r="O6" s="72">
        <f t="shared" si="2"/>
        <v>165</v>
      </c>
      <c r="P6" s="72">
        <f t="shared" si="2"/>
        <v>165</v>
      </c>
      <c r="Q6" s="72">
        <f t="shared" si="2"/>
        <v>157.5</v>
      </c>
      <c r="R6" s="72">
        <f t="shared" si="2"/>
        <v>142.5</v>
      </c>
      <c r="S6" s="35">
        <f t="shared" si="1"/>
        <v>1717.5</v>
      </c>
    </row>
    <row r="7" spans="1:20" x14ac:dyDescent="0.3">
      <c r="A7" s="24" t="s">
        <v>194</v>
      </c>
      <c r="B7" s="54">
        <f>591600/12/162.5</f>
        <v>303.38461538461536</v>
      </c>
      <c r="C7" s="45">
        <f>7.5</f>
        <v>7.5</v>
      </c>
      <c r="D7" s="49">
        <v>0.4</v>
      </c>
      <c r="E7" s="49">
        <v>0.1</v>
      </c>
      <c r="F7" s="49">
        <v>0.5</v>
      </c>
      <c r="G7" s="72">
        <f>(G$2-G$3)*$C7</f>
        <v>165</v>
      </c>
      <c r="H7" s="72">
        <f t="shared" si="2"/>
        <v>150</v>
      </c>
      <c r="I7" s="72">
        <f t="shared" si="2"/>
        <v>165</v>
      </c>
      <c r="J7" s="72">
        <f t="shared" si="2"/>
        <v>127.5</v>
      </c>
      <c r="K7" s="72">
        <f t="shared" si="2"/>
        <v>142.5</v>
      </c>
      <c r="L7" s="72">
        <f t="shared" si="2"/>
        <v>142.5</v>
      </c>
      <c r="M7" s="72">
        <f t="shared" si="2"/>
        <v>75</v>
      </c>
      <c r="N7" s="72">
        <f t="shared" si="2"/>
        <v>120</v>
      </c>
      <c r="O7" s="72">
        <f t="shared" si="2"/>
        <v>165</v>
      </c>
      <c r="P7" s="72">
        <f t="shared" si="2"/>
        <v>165</v>
      </c>
      <c r="Q7" s="72">
        <f t="shared" si="2"/>
        <v>157.5</v>
      </c>
      <c r="R7" s="72">
        <f t="shared" si="2"/>
        <v>142.5</v>
      </c>
      <c r="S7" s="35">
        <f t="shared" si="1"/>
        <v>1717.5</v>
      </c>
    </row>
    <row r="8" spans="1:20" x14ac:dyDescent="0.3">
      <c r="A8" s="24" t="s">
        <v>339</v>
      </c>
      <c r="B8" s="54">
        <v>260</v>
      </c>
      <c r="C8" s="45">
        <v>7.5</v>
      </c>
      <c r="D8" s="49">
        <v>0.7</v>
      </c>
      <c r="E8" s="49"/>
      <c r="F8" s="49">
        <v>0.3</v>
      </c>
      <c r="G8" s="72">
        <f t="shared" ref="G8:R8" si="3">(G$2-G$3)*$C8</f>
        <v>165</v>
      </c>
      <c r="H8" s="72">
        <f t="shared" si="3"/>
        <v>150</v>
      </c>
      <c r="I8" s="72">
        <f t="shared" si="3"/>
        <v>165</v>
      </c>
      <c r="J8" s="72">
        <f t="shared" si="3"/>
        <v>127.5</v>
      </c>
      <c r="K8" s="72">
        <f t="shared" si="3"/>
        <v>142.5</v>
      </c>
      <c r="L8" s="72">
        <f t="shared" si="3"/>
        <v>142.5</v>
      </c>
      <c r="M8" s="72">
        <f t="shared" si="3"/>
        <v>75</v>
      </c>
      <c r="N8" s="72">
        <f t="shared" si="3"/>
        <v>120</v>
      </c>
      <c r="O8" s="72">
        <f t="shared" si="3"/>
        <v>165</v>
      </c>
      <c r="P8" s="72">
        <f t="shared" si="3"/>
        <v>165</v>
      </c>
      <c r="Q8" s="72">
        <f t="shared" si="3"/>
        <v>157.5</v>
      </c>
      <c r="R8" s="72">
        <f t="shared" si="3"/>
        <v>142.5</v>
      </c>
      <c r="S8" s="35">
        <f t="shared" si="1"/>
        <v>1717.5</v>
      </c>
    </row>
    <row r="9" spans="1:20" x14ac:dyDescent="0.3">
      <c r="A9" s="24" t="s">
        <v>62</v>
      </c>
      <c r="B9" s="54">
        <v>248</v>
      </c>
      <c r="C9" s="45">
        <f>7.5*1.15</f>
        <v>8.625</v>
      </c>
      <c r="D9" s="49">
        <v>0.2</v>
      </c>
      <c r="E9" s="49">
        <v>0.8</v>
      </c>
      <c r="F9" s="49"/>
      <c r="G9" s="72">
        <v>95</v>
      </c>
      <c r="H9" s="72">
        <f t="shared" ref="H9:R12" si="4">(H$2-H$3)*$C9</f>
        <v>172.5</v>
      </c>
      <c r="I9" s="72">
        <f t="shared" si="4"/>
        <v>189.75</v>
      </c>
      <c r="J9" s="72">
        <f t="shared" si="4"/>
        <v>146.625</v>
      </c>
      <c r="K9" s="72">
        <f t="shared" si="4"/>
        <v>163.875</v>
      </c>
      <c r="L9" s="72">
        <f t="shared" si="4"/>
        <v>163.875</v>
      </c>
      <c r="M9" s="72">
        <f t="shared" si="4"/>
        <v>86.25</v>
      </c>
      <c r="N9" s="72">
        <f t="shared" si="4"/>
        <v>138</v>
      </c>
      <c r="O9" s="72">
        <f t="shared" si="4"/>
        <v>189.75</v>
      </c>
      <c r="P9" s="72">
        <f t="shared" si="4"/>
        <v>189.75</v>
      </c>
      <c r="Q9" s="72">
        <f t="shared" si="4"/>
        <v>181.125</v>
      </c>
      <c r="R9" s="72">
        <f t="shared" si="4"/>
        <v>163.875</v>
      </c>
      <c r="S9" s="35">
        <f t="shared" si="1"/>
        <v>1880.375</v>
      </c>
    </row>
    <row r="10" spans="1:20" x14ac:dyDescent="0.3">
      <c r="A10" s="24" t="s">
        <v>73</v>
      </c>
      <c r="B10" s="54">
        <v>248</v>
      </c>
      <c r="C10" s="45">
        <f>7.5*1.15</f>
        <v>8.625</v>
      </c>
      <c r="D10" s="49">
        <v>0.2</v>
      </c>
      <c r="E10" s="49">
        <v>0.8</v>
      </c>
      <c r="F10" s="49"/>
      <c r="G10" s="72">
        <v>95</v>
      </c>
      <c r="H10" s="72">
        <f t="shared" si="4"/>
        <v>172.5</v>
      </c>
      <c r="I10" s="72">
        <f t="shared" si="4"/>
        <v>189.75</v>
      </c>
      <c r="J10" s="72">
        <f t="shared" si="4"/>
        <v>146.625</v>
      </c>
      <c r="K10" s="72">
        <f t="shared" si="4"/>
        <v>163.875</v>
      </c>
      <c r="L10" s="72">
        <f t="shared" si="4"/>
        <v>163.875</v>
      </c>
      <c r="M10" s="72">
        <f t="shared" si="4"/>
        <v>86.25</v>
      </c>
      <c r="N10" s="72">
        <f t="shared" si="4"/>
        <v>138</v>
      </c>
      <c r="O10" s="72">
        <f t="shared" si="4"/>
        <v>189.75</v>
      </c>
      <c r="P10" s="72">
        <f t="shared" si="4"/>
        <v>189.75</v>
      </c>
      <c r="Q10" s="72">
        <f t="shared" si="4"/>
        <v>181.125</v>
      </c>
      <c r="R10" s="72">
        <f t="shared" si="4"/>
        <v>163.875</v>
      </c>
      <c r="S10" s="35">
        <f t="shared" si="1"/>
        <v>1880.375</v>
      </c>
    </row>
    <row r="11" spans="1:20" x14ac:dyDescent="0.3">
      <c r="A11" s="24" t="s">
        <v>63</v>
      </c>
      <c r="B11" s="54">
        <v>233</v>
      </c>
      <c r="C11" s="45">
        <f>7.5*1.15</f>
        <v>8.625</v>
      </c>
      <c r="D11" s="49">
        <v>0.5</v>
      </c>
      <c r="E11" s="49">
        <v>0.5</v>
      </c>
      <c r="F11" s="49"/>
      <c r="G11" s="72">
        <v>40</v>
      </c>
      <c r="H11" s="72">
        <f t="shared" si="4"/>
        <v>172.5</v>
      </c>
      <c r="I11" s="72">
        <f t="shared" si="4"/>
        <v>189.75</v>
      </c>
      <c r="J11" s="72">
        <f t="shared" si="4"/>
        <v>146.625</v>
      </c>
      <c r="K11" s="72">
        <f t="shared" si="4"/>
        <v>163.875</v>
      </c>
      <c r="L11" s="72">
        <f t="shared" si="4"/>
        <v>163.875</v>
      </c>
      <c r="M11" s="72">
        <f t="shared" si="4"/>
        <v>86.25</v>
      </c>
      <c r="N11" s="72">
        <f t="shared" si="4"/>
        <v>138</v>
      </c>
      <c r="O11" s="72">
        <f t="shared" si="4"/>
        <v>189.75</v>
      </c>
      <c r="P11" s="72">
        <f t="shared" si="4"/>
        <v>189.75</v>
      </c>
      <c r="Q11" s="72">
        <f t="shared" si="4"/>
        <v>181.125</v>
      </c>
      <c r="R11" s="72">
        <f t="shared" si="4"/>
        <v>163.875</v>
      </c>
      <c r="S11" s="35">
        <f t="shared" si="1"/>
        <v>1825.375</v>
      </c>
    </row>
    <row r="12" spans="1:20" x14ac:dyDescent="0.3">
      <c r="A12" s="24" t="s">
        <v>64</v>
      </c>
      <c r="B12" s="54">
        <v>233</v>
      </c>
      <c r="C12" s="45">
        <f>7.5*1.15</f>
        <v>8.625</v>
      </c>
      <c r="D12" s="49">
        <v>0.5</v>
      </c>
      <c r="E12" s="49">
        <v>0.5</v>
      </c>
      <c r="F12" s="49"/>
      <c r="G12" s="72">
        <v>95</v>
      </c>
      <c r="H12" s="72">
        <f t="shared" si="4"/>
        <v>172.5</v>
      </c>
      <c r="I12" s="72">
        <f t="shared" si="4"/>
        <v>189.75</v>
      </c>
      <c r="J12" s="72">
        <f t="shared" si="4"/>
        <v>146.625</v>
      </c>
      <c r="K12" s="72">
        <f t="shared" si="4"/>
        <v>163.875</v>
      </c>
      <c r="L12" s="72">
        <f t="shared" si="4"/>
        <v>163.875</v>
      </c>
      <c r="M12" s="72">
        <f t="shared" si="4"/>
        <v>86.25</v>
      </c>
      <c r="N12" s="72">
        <f t="shared" si="4"/>
        <v>138</v>
      </c>
      <c r="O12" s="72">
        <f t="shared" si="4"/>
        <v>189.75</v>
      </c>
      <c r="P12" s="72">
        <f t="shared" si="4"/>
        <v>189.75</v>
      </c>
      <c r="Q12" s="72">
        <f t="shared" si="4"/>
        <v>181.125</v>
      </c>
      <c r="R12" s="72">
        <f t="shared" si="4"/>
        <v>163.875</v>
      </c>
      <c r="S12" s="35">
        <f t="shared" si="1"/>
        <v>1880.375</v>
      </c>
    </row>
    <row r="13" spans="1:20" x14ac:dyDescent="0.3">
      <c r="A13" s="24" t="s">
        <v>344</v>
      </c>
      <c r="B13" s="54">
        <v>248</v>
      </c>
      <c r="C13" s="45">
        <v>7.5</v>
      </c>
      <c r="D13" s="49"/>
      <c r="E13" s="49">
        <v>1</v>
      </c>
      <c r="F13" s="49"/>
      <c r="G13" s="72">
        <f>(G$2-G$3)*$C13</f>
        <v>165</v>
      </c>
      <c r="H13" s="72">
        <f t="shared" ref="H13:R34" si="5">(H$2-H$3)*$C13</f>
        <v>150</v>
      </c>
      <c r="I13" s="72">
        <f t="shared" si="5"/>
        <v>165</v>
      </c>
      <c r="J13" s="72">
        <f t="shared" si="5"/>
        <v>127.5</v>
      </c>
      <c r="K13" s="72">
        <f t="shared" si="5"/>
        <v>142.5</v>
      </c>
      <c r="L13" s="72">
        <f t="shared" si="5"/>
        <v>142.5</v>
      </c>
      <c r="M13" s="72">
        <f t="shared" si="5"/>
        <v>75</v>
      </c>
      <c r="N13" s="72">
        <f t="shared" si="5"/>
        <v>120</v>
      </c>
      <c r="O13" s="72">
        <f t="shared" si="5"/>
        <v>165</v>
      </c>
      <c r="P13" s="72">
        <f t="shared" si="5"/>
        <v>165</v>
      </c>
      <c r="Q13" s="72">
        <f t="shared" si="5"/>
        <v>157.5</v>
      </c>
      <c r="R13" s="72">
        <f t="shared" si="5"/>
        <v>142.5</v>
      </c>
      <c r="S13" s="35">
        <f t="shared" si="1"/>
        <v>1717.5</v>
      </c>
    </row>
    <row r="14" spans="1:20" x14ac:dyDescent="0.3">
      <c r="A14" s="24" t="s">
        <v>157</v>
      </c>
      <c r="B14" s="54">
        <v>248</v>
      </c>
      <c r="C14" s="45">
        <v>7.5</v>
      </c>
      <c r="D14" s="49"/>
      <c r="E14" s="49">
        <v>1</v>
      </c>
      <c r="F14" s="49"/>
      <c r="G14" s="72">
        <f>(G$2-G$3)*$C14</f>
        <v>165</v>
      </c>
      <c r="H14" s="72">
        <f t="shared" si="5"/>
        <v>150</v>
      </c>
      <c r="I14" s="72">
        <f t="shared" si="5"/>
        <v>165</v>
      </c>
      <c r="J14" s="72">
        <f t="shared" si="5"/>
        <v>127.5</v>
      </c>
      <c r="K14" s="72">
        <f t="shared" si="5"/>
        <v>142.5</v>
      </c>
      <c r="L14" s="72">
        <f t="shared" si="5"/>
        <v>142.5</v>
      </c>
      <c r="M14" s="72">
        <f t="shared" si="5"/>
        <v>75</v>
      </c>
      <c r="N14" s="72">
        <f t="shared" si="5"/>
        <v>120</v>
      </c>
      <c r="O14" s="72">
        <f t="shared" si="5"/>
        <v>165</v>
      </c>
      <c r="P14" s="72">
        <f t="shared" si="5"/>
        <v>165</v>
      </c>
      <c r="Q14" s="72">
        <f t="shared" si="5"/>
        <v>157.5</v>
      </c>
      <c r="R14" s="72">
        <f t="shared" si="5"/>
        <v>142.5</v>
      </c>
      <c r="S14" s="35">
        <f t="shared" si="1"/>
        <v>1717.5</v>
      </c>
    </row>
    <row r="15" spans="1:20" x14ac:dyDescent="0.3">
      <c r="A15" s="24" t="s">
        <v>159</v>
      </c>
      <c r="B15" s="54">
        <v>248</v>
      </c>
      <c r="C15" s="45">
        <v>7.5</v>
      </c>
      <c r="D15" s="49"/>
      <c r="E15" s="49">
        <v>1</v>
      </c>
      <c r="F15" s="49"/>
      <c r="G15" s="72">
        <f>(G$2-G$3)*$C15</f>
        <v>165</v>
      </c>
      <c r="H15" s="72">
        <f t="shared" si="5"/>
        <v>150</v>
      </c>
      <c r="I15" s="72">
        <f t="shared" si="5"/>
        <v>165</v>
      </c>
      <c r="J15" s="72">
        <f t="shared" si="5"/>
        <v>127.5</v>
      </c>
      <c r="K15" s="72">
        <f t="shared" si="5"/>
        <v>142.5</v>
      </c>
      <c r="L15" s="72">
        <f t="shared" si="5"/>
        <v>142.5</v>
      </c>
      <c r="M15" s="72">
        <f t="shared" si="5"/>
        <v>75</v>
      </c>
      <c r="N15" s="72">
        <f t="shared" si="5"/>
        <v>120</v>
      </c>
      <c r="O15" s="72">
        <f t="shared" si="5"/>
        <v>165</v>
      </c>
      <c r="P15" s="72">
        <f t="shared" si="5"/>
        <v>165</v>
      </c>
      <c r="Q15" s="72">
        <f t="shared" si="5"/>
        <v>157.5</v>
      </c>
      <c r="R15" s="72">
        <f t="shared" si="5"/>
        <v>142.5</v>
      </c>
      <c r="S15" s="35">
        <f t="shared" si="1"/>
        <v>1717.5</v>
      </c>
    </row>
    <row r="16" spans="1:20" hidden="1" x14ac:dyDescent="0.3">
      <c r="A16" s="24"/>
      <c r="B16" s="45"/>
      <c r="C16" s="45"/>
      <c r="D16" s="49"/>
      <c r="E16" s="49"/>
      <c r="F16" s="49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35"/>
    </row>
    <row r="17" spans="1:19" hidden="1" x14ac:dyDescent="0.3">
      <c r="A17" s="43"/>
      <c r="B17" s="45"/>
      <c r="C17" s="45"/>
      <c r="D17" s="49"/>
      <c r="E17" s="49"/>
      <c r="F17" s="49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35"/>
    </row>
    <row r="18" spans="1:19" x14ac:dyDescent="0.3">
      <c r="A18" s="24" t="s">
        <v>319</v>
      </c>
      <c r="B18" s="54">
        <v>190</v>
      </c>
      <c r="C18" s="45">
        <v>7.5</v>
      </c>
      <c r="D18" s="49">
        <v>1</v>
      </c>
      <c r="E18" s="49"/>
      <c r="F18" s="49"/>
      <c r="G18" s="72">
        <f t="shared" ref="G18:G30" si="6">(G$2-G$3)*$C18</f>
        <v>165</v>
      </c>
      <c r="H18" s="72">
        <f t="shared" si="5"/>
        <v>150</v>
      </c>
      <c r="I18" s="72">
        <f t="shared" si="5"/>
        <v>165</v>
      </c>
      <c r="J18" s="72">
        <f t="shared" si="5"/>
        <v>127.5</v>
      </c>
      <c r="K18" s="72">
        <f t="shared" si="5"/>
        <v>142.5</v>
      </c>
      <c r="L18" s="72">
        <f t="shared" si="5"/>
        <v>142.5</v>
      </c>
      <c r="M18" s="72">
        <f t="shared" si="5"/>
        <v>75</v>
      </c>
      <c r="N18" s="72">
        <f t="shared" si="5"/>
        <v>120</v>
      </c>
      <c r="O18" s="72">
        <f t="shared" si="5"/>
        <v>165</v>
      </c>
      <c r="P18" s="72">
        <f t="shared" si="5"/>
        <v>165</v>
      </c>
      <c r="Q18" s="72">
        <f t="shared" si="5"/>
        <v>157.5</v>
      </c>
      <c r="R18" s="72">
        <f t="shared" si="5"/>
        <v>142.5</v>
      </c>
      <c r="S18" s="35">
        <f t="shared" si="1"/>
        <v>1717.5</v>
      </c>
    </row>
    <row r="19" spans="1:19" x14ac:dyDescent="0.3">
      <c r="A19" s="24" t="s">
        <v>317</v>
      </c>
      <c r="B19" s="54">
        <v>248</v>
      </c>
      <c r="C19" s="45">
        <v>7.5</v>
      </c>
      <c r="D19" s="49">
        <v>1</v>
      </c>
      <c r="E19" s="49"/>
      <c r="F19" s="49"/>
      <c r="G19" s="72">
        <f t="shared" si="6"/>
        <v>165</v>
      </c>
      <c r="H19" s="72">
        <f t="shared" si="5"/>
        <v>150</v>
      </c>
      <c r="I19" s="72">
        <f t="shared" si="5"/>
        <v>165</v>
      </c>
      <c r="J19" s="72">
        <f t="shared" si="5"/>
        <v>127.5</v>
      </c>
      <c r="K19" s="72">
        <f t="shared" si="5"/>
        <v>142.5</v>
      </c>
      <c r="L19" s="72">
        <f t="shared" si="5"/>
        <v>142.5</v>
      </c>
      <c r="M19" s="72">
        <f t="shared" si="5"/>
        <v>75</v>
      </c>
      <c r="N19" s="72">
        <f t="shared" si="5"/>
        <v>120</v>
      </c>
      <c r="O19" s="72">
        <f t="shared" si="5"/>
        <v>165</v>
      </c>
      <c r="P19" s="72">
        <f t="shared" si="5"/>
        <v>165</v>
      </c>
      <c r="Q19" s="72">
        <f t="shared" si="5"/>
        <v>157.5</v>
      </c>
      <c r="R19" s="72">
        <f t="shared" si="5"/>
        <v>142.5</v>
      </c>
      <c r="S19" s="35">
        <f t="shared" si="1"/>
        <v>1717.5</v>
      </c>
    </row>
    <row r="20" spans="1:19" x14ac:dyDescent="0.3">
      <c r="A20" s="24" t="s">
        <v>318</v>
      </c>
      <c r="B20" s="54">
        <v>248</v>
      </c>
      <c r="C20" s="45">
        <v>7.5</v>
      </c>
      <c r="D20" s="49">
        <v>1</v>
      </c>
      <c r="E20" s="49"/>
      <c r="F20" s="49"/>
      <c r="G20" s="72">
        <f t="shared" si="6"/>
        <v>165</v>
      </c>
      <c r="H20" s="72">
        <f t="shared" si="5"/>
        <v>150</v>
      </c>
      <c r="I20" s="72">
        <f t="shared" si="5"/>
        <v>165</v>
      </c>
      <c r="J20" s="72">
        <f t="shared" si="5"/>
        <v>127.5</v>
      </c>
      <c r="K20" s="72">
        <f t="shared" si="5"/>
        <v>142.5</v>
      </c>
      <c r="L20" s="72">
        <f t="shared" si="5"/>
        <v>142.5</v>
      </c>
      <c r="M20" s="72">
        <f t="shared" si="5"/>
        <v>75</v>
      </c>
      <c r="N20" s="72">
        <f t="shared" si="5"/>
        <v>120</v>
      </c>
      <c r="O20" s="72">
        <f t="shared" si="5"/>
        <v>165</v>
      </c>
      <c r="P20" s="72">
        <f t="shared" si="5"/>
        <v>165</v>
      </c>
      <c r="Q20" s="72">
        <f t="shared" si="5"/>
        <v>157.5</v>
      </c>
      <c r="R20" s="72">
        <f t="shared" si="5"/>
        <v>142.5</v>
      </c>
      <c r="S20" s="35">
        <f t="shared" si="1"/>
        <v>1717.5</v>
      </c>
    </row>
    <row r="21" spans="1:19" x14ac:dyDescent="0.3">
      <c r="A21" s="24" t="s">
        <v>54</v>
      </c>
      <c r="B21" s="54">
        <v>248</v>
      </c>
      <c r="C21" s="45">
        <v>7.5</v>
      </c>
      <c r="D21" s="49">
        <v>1</v>
      </c>
      <c r="E21" s="49"/>
      <c r="F21" s="49"/>
      <c r="G21" s="72">
        <f t="shared" si="6"/>
        <v>165</v>
      </c>
      <c r="H21" s="72">
        <f t="shared" ref="H21:R24" si="7">(H$2-H$3)*$C21</f>
        <v>150</v>
      </c>
      <c r="I21" s="72">
        <f t="shared" si="7"/>
        <v>165</v>
      </c>
      <c r="J21" s="72">
        <f t="shared" si="7"/>
        <v>127.5</v>
      </c>
      <c r="K21" s="72">
        <f t="shared" si="7"/>
        <v>142.5</v>
      </c>
      <c r="L21" s="72">
        <f t="shared" si="7"/>
        <v>142.5</v>
      </c>
      <c r="M21" s="72">
        <f t="shared" si="7"/>
        <v>75</v>
      </c>
      <c r="N21" s="72">
        <f t="shared" si="7"/>
        <v>120</v>
      </c>
      <c r="O21" s="72">
        <f t="shared" si="7"/>
        <v>165</v>
      </c>
      <c r="P21" s="72">
        <f t="shared" si="7"/>
        <v>165</v>
      </c>
      <c r="Q21" s="72">
        <f t="shared" si="7"/>
        <v>157.5</v>
      </c>
      <c r="R21" s="72">
        <f t="shared" si="7"/>
        <v>142.5</v>
      </c>
      <c r="S21" s="35">
        <f t="shared" ref="S21:S29" si="8">SUM(G21:R21)</f>
        <v>1717.5</v>
      </c>
    </row>
    <row r="22" spans="1:19" x14ac:dyDescent="0.3">
      <c r="A22" s="24" t="s">
        <v>58</v>
      </c>
      <c r="B22" s="54">
        <v>248</v>
      </c>
      <c r="C22" s="45">
        <v>7.5</v>
      </c>
      <c r="D22" s="49">
        <v>1</v>
      </c>
      <c r="E22" s="49"/>
      <c r="F22" s="49"/>
      <c r="G22" s="72">
        <f t="shared" si="6"/>
        <v>165</v>
      </c>
      <c r="H22" s="72">
        <f t="shared" si="7"/>
        <v>150</v>
      </c>
      <c r="I22" s="72">
        <f t="shared" si="7"/>
        <v>165</v>
      </c>
      <c r="J22" s="72">
        <f t="shared" si="7"/>
        <v>127.5</v>
      </c>
      <c r="K22" s="72">
        <f t="shared" si="7"/>
        <v>142.5</v>
      </c>
      <c r="L22" s="72">
        <f t="shared" si="7"/>
        <v>142.5</v>
      </c>
      <c r="M22" s="72">
        <f t="shared" si="7"/>
        <v>75</v>
      </c>
      <c r="N22" s="72">
        <f t="shared" si="7"/>
        <v>120</v>
      </c>
      <c r="O22" s="72">
        <f t="shared" si="7"/>
        <v>165</v>
      </c>
      <c r="P22" s="72">
        <f t="shared" si="7"/>
        <v>165</v>
      </c>
      <c r="Q22" s="72">
        <f t="shared" si="7"/>
        <v>157.5</v>
      </c>
      <c r="R22" s="72">
        <f t="shared" si="7"/>
        <v>142.5</v>
      </c>
      <c r="S22" s="35">
        <f t="shared" si="8"/>
        <v>1717.5</v>
      </c>
    </row>
    <row r="23" spans="1:19" x14ac:dyDescent="0.3">
      <c r="A23" s="24" t="s">
        <v>156</v>
      </c>
      <c r="B23" s="54">
        <v>248</v>
      </c>
      <c r="C23" s="45">
        <v>7.5</v>
      </c>
      <c r="D23" s="49">
        <v>1</v>
      </c>
      <c r="E23" s="49"/>
      <c r="F23" s="49"/>
      <c r="G23" s="72">
        <f t="shared" si="6"/>
        <v>165</v>
      </c>
      <c r="H23" s="72">
        <f t="shared" si="7"/>
        <v>150</v>
      </c>
      <c r="I23" s="72">
        <f t="shared" si="7"/>
        <v>165</v>
      </c>
      <c r="J23" s="72">
        <f t="shared" si="7"/>
        <v>127.5</v>
      </c>
      <c r="K23" s="72">
        <f t="shared" si="7"/>
        <v>142.5</v>
      </c>
      <c r="L23" s="72">
        <f t="shared" si="7"/>
        <v>142.5</v>
      </c>
      <c r="M23" s="72">
        <f t="shared" si="7"/>
        <v>75</v>
      </c>
      <c r="N23" s="72">
        <f t="shared" si="7"/>
        <v>120</v>
      </c>
      <c r="O23" s="72">
        <f t="shared" si="7"/>
        <v>165</v>
      </c>
      <c r="P23" s="72">
        <f t="shared" si="7"/>
        <v>165</v>
      </c>
      <c r="Q23" s="72">
        <f t="shared" si="7"/>
        <v>157.5</v>
      </c>
      <c r="R23" s="72">
        <f t="shared" si="7"/>
        <v>142.5</v>
      </c>
      <c r="S23" s="35">
        <f t="shared" si="8"/>
        <v>1717.5</v>
      </c>
    </row>
    <row r="24" spans="1:19" x14ac:dyDescent="0.3">
      <c r="A24" s="24" t="s">
        <v>196</v>
      </c>
      <c r="B24" s="54">
        <v>248</v>
      </c>
      <c r="C24" s="45">
        <v>7.5</v>
      </c>
      <c r="D24" s="49">
        <v>1</v>
      </c>
      <c r="E24" s="49"/>
      <c r="F24" s="49"/>
      <c r="G24" s="72">
        <f t="shared" si="6"/>
        <v>165</v>
      </c>
      <c r="H24" s="72">
        <f t="shared" si="7"/>
        <v>150</v>
      </c>
      <c r="I24" s="72">
        <f t="shared" si="7"/>
        <v>165</v>
      </c>
      <c r="J24" s="72">
        <f t="shared" si="7"/>
        <v>127.5</v>
      </c>
      <c r="K24" s="72">
        <f t="shared" si="7"/>
        <v>142.5</v>
      </c>
      <c r="L24" s="72">
        <f t="shared" si="7"/>
        <v>142.5</v>
      </c>
      <c r="M24" s="72">
        <f t="shared" si="7"/>
        <v>75</v>
      </c>
      <c r="N24" s="72">
        <f t="shared" si="7"/>
        <v>120</v>
      </c>
      <c r="O24" s="72">
        <f t="shared" si="7"/>
        <v>165</v>
      </c>
      <c r="P24" s="72">
        <f t="shared" si="7"/>
        <v>165</v>
      </c>
      <c r="Q24" s="72">
        <f t="shared" si="7"/>
        <v>157.5</v>
      </c>
      <c r="R24" s="72">
        <f t="shared" si="7"/>
        <v>142.5</v>
      </c>
      <c r="S24" s="35">
        <f t="shared" si="8"/>
        <v>1717.5</v>
      </c>
    </row>
    <row r="25" spans="1:19" x14ac:dyDescent="0.3">
      <c r="A25" s="24" t="s">
        <v>338</v>
      </c>
      <c r="B25" s="54">
        <v>244</v>
      </c>
      <c r="C25" s="45">
        <v>7.5</v>
      </c>
      <c r="D25" s="49">
        <v>1</v>
      </c>
      <c r="E25" s="49"/>
      <c r="F25" s="49"/>
      <c r="G25" s="72">
        <f t="shared" si="6"/>
        <v>165</v>
      </c>
      <c r="H25" s="72">
        <f t="shared" si="5"/>
        <v>150</v>
      </c>
      <c r="I25" s="72">
        <f t="shared" si="5"/>
        <v>165</v>
      </c>
      <c r="J25" s="72">
        <f t="shared" si="5"/>
        <v>127.5</v>
      </c>
      <c r="K25" s="72">
        <f t="shared" si="5"/>
        <v>142.5</v>
      </c>
      <c r="L25" s="72">
        <f t="shared" si="5"/>
        <v>142.5</v>
      </c>
      <c r="M25" s="72">
        <f t="shared" si="5"/>
        <v>75</v>
      </c>
      <c r="N25" s="72">
        <f t="shared" si="5"/>
        <v>120</v>
      </c>
      <c r="O25" s="72">
        <f t="shared" si="5"/>
        <v>165</v>
      </c>
      <c r="P25" s="72">
        <f t="shared" si="5"/>
        <v>165</v>
      </c>
      <c r="Q25" s="72">
        <f t="shared" si="5"/>
        <v>157.5</v>
      </c>
      <c r="R25" s="72">
        <f t="shared" si="5"/>
        <v>142.5</v>
      </c>
      <c r="S25" s="35">
        <f t="shared" si="8"/>
        <v>1717.5</v>
      </c>
    </row>
    <row r="26" spans="1:19" x14ac:dyDescent="0.3">
      <c r="A26" s="24" t="s">
        <v>320</v>
      </c>
      <c r="B26" s="54">
        <v>225</v>
      </c>
      <c r="C26" s="45">
        <v>7.5</v>
      </c>
      <c r="D26" s="49">
        <v>1</v>
      </c>
      <c r="E26" s="49"/>
      <c r="F26" s="49"/>
      <c r="G26" s="72">
        <f t="shared" si="6"/>
        <v>165</v>
      </c>
      <c r="H26" s="72">
        <f t="shared" si="5"/>
        <v>150</v>
      </c>
      <c r="I26" s="72">
        <f t="shared" si="5"/>
        <v>165</v>
      </c>
      <c r="J26" s="72">
        <f t="shared" si="5"/>
        <v>127.5</v>
      </c>
      <c r="K26" s="72">
        <f t="shared" si="5"/>
        <v>142.5</v>
      </c>
      <c r="L26" s="72">
        <f t="shared" si="5"/>
        <v>142.5</v>
      </c>
      <c r="M26" s="72">
        <f t="shared" si="5"/>
        <v>75</v>
      </c>
      <c r="N26" s="72">
        <f t="shared" si="5"/>
        <v>120</v>
      </c>
      <c r="O26" s="72">
        <f t="shared" si="5"/>
        <v>165</v>
      </c>
      <c r="P26" s="72">
        <f t="shared" si="5"/>
        <v>165</v>
      </c>
      <c r="Q26" s="72">
        <f t="shared" si="5"/>
        <v>157.5</v>
      </c>
      <c r="R26" s="72">
        <f t="shared" si="5"/>
        <v>142.5</v>
      </c>
      <c r="S26" s="35">
        <f t="shared" si="8"/>
        <v>1717.5</v>
      </c>
    </row>
    <row r="27" spans="1:19" x14ac:dyDescent="0.3">
      <c r="A27" s="24" t="s">
        <v>195</v>
      </c>
      <c r="B27" s="54">
        <v>233</v>
      </c>
      <c r="C27" s="45">
        <v>7.5</v>
      </c>
      <c r="D27" s="79">
        <v>1</v>
      </c>
      <c r="E27" s="80"/>
      <c r="G27" s="72">
        <f t="shared" si="6"/>
        <v>165</v>
      </c>
      <c r="H27" s="72">
        <f t="shared" ref="H27:R27" si="9">(H$2-H$3)*$C27</f>
        <v>150</v>
      </c>
      <c r="I27" s="72">
        <f t="shared" si="9"/>
        <v>165</v>
      </c>
      <c r="J27" s="72">
        <f t="shared" si="9"/>
        <v>127.5</v>
      </c>
      <c r="K27" s="72">
        <f t="shared" si="9"/>
        <v>142.5</v>
      </c>
      <c r="L27" s="72">
        <f t="shared" si="9"/>
        <v>142.5</v>
      </c>
      <c r="M27" s="72">
        <f t="shared" si="9"/>
        <v>75</v>
      </c>
      <c r="N27" s="72">
        <f t="shared" si="9"/>
        <v>120</v>
      </c>
      <c r="O27" s="72">
        <f t="shared" si="9"/>
        <v>165</v>
      </c>
      <c r="P27" s="72">
        <f t="shared" si="9"/>
        <v>165</v>
      </c>
      <c r="Q27" s="72">
        <f t="shared" si="9"/>
        <v>157.5</v>
      </c>
      <c r="R27" s="72">
        <f t="shared" si="9"/>
        <v>142.5</v>
      </c>
      <c r="S27" s="35">
        <f t="shared" si="8"/>
        <v>1717.5</v>
      </c>
    </row>
    <row r="28" spans="1:19" x14ac:dyDescent="0.3">
      <c r="A28" s="24" t="s">
        <v>341</v>
      </c>
      <c r="B28" s="54">
        <v>248</v>
      </c>
      <c r="C28" s="45">
        <v>7.5</v>
      </c>
      <c r="D28" s="49">
        <v>1</v>
      </c>
      <c r="E28" s="49"/>
      <c r="F28" s="49"/>
      <c r="G28" s="72">
        <f t="shared" si="6"/>
        <v>165</v>
      </c>
      <c r="H28" s="72">
        <f t="shared" si="5"/>
        <v>150</v>
      </c>
      <c r="I28" s="72">
        <f t="shared" si="5"/>
        <v>165</v>
      </c>
      <c r="J28" s="72">
        <f t="shared" si="5"/>
        <v>127.5</v>
      </c>
      <c r="K28" s="72">
        <f t="shared" si="5"/>
        <v>142.5</v>
      </c>
      <c r="L28" s="72">
        <f t="shared" si="5"/>
        <v>142.5</v>
      </c>
      <c r="M28" s="72">
        <f t="shared" si="5"/>
        <v>75</v>
      </c>
      <c r="N28" s="72">
        <f t="shared" si="5"/>
        <v>120</v>
      </c>
      <c r="O28" s="72">
        <f t="shared" si="5"/>
        <v>165</v>
      </c>
      <c r="P28" s="72">
        <f t="shared" si="5"/>
        <v>165</v>
      </c>
      <c r="Q28" s="72">
        <f t="shared" si="5"/>
        <v>157.5</v>
      </c>
      <c r="R28" s="72">
        <f t="shared" si="5"/>
        <v>142.5</v>
      </c>
      <c r="S28" s="35">
        <f t="shared" si="8"/>
        <v>1717.5</v>
      </c>
    </row>
    <row r="29" spans="1:19" x14ac:dyDescent="0.3">
      <c r="A29" s="24" t="s">
        <v>342</v>
      </c>
      <c r="B29" s="54">
        <v>248</v>
      </c>
      <c r="C29" s="45">
        <v>7.5</v>
      </c>
      <c r="D29" s="49">
        <v>1</v>
      </c>
      <c r="E29" s="49"/>
      <c r="F29" s="49"/>
      <c r="G29" s="72">
        <f t="shared" si="6"/>
        <v>165</v>
      </c>
      <c r="H29" s="72">
        <f t="shared" si="5"/>
        <v>150</v>
      </c>
      <c r="I29" s="72">
        <f t="shared" si="5"/>
        <v>165</v>
      </c>
      <c r="J29" s="72">
        <f t="shared" si="5"/>
        <v>127.5</v>
      </c>
      <c r="K29" s="72">
        <f t="shared" si="5"/>
        <v>142.5</v>
      </c>
      <c r="L29" s="72">
        <f t="shared" si="5"/>
        <v>142.5</v>
      </c>
      <c r="M29" s="72">
        <f t="shared" si="5"/>
        <v>75</v>
      </c>
      <c r="N29" s="72">
        <f t="shared" si="5"/>
        <v>120</v>
      </c>
      <c r="O29" s="72">
        <f t="shared" si="5"/>
        <v>165</v>
      </c>
      <c r="P29" s="72">
        <f t="shared" si="5"/>
        <v>165</v>
      </c>
      <c r="Q29" s="72">
        <f t="shared" si="5"/>
        <v>157.5</v>
      </c>
      <c r="R29" s="72">
        <f t="shared" si="5"/>
        <v>142.5</v>
      </c>
      <c r="S29" s="35">
        <f t="shared" si="8"/>
        <v>1717.5</v>
      </c>
    </row>
    <row r="30" spans="1:19" x14ac:dyDescent="0.3">
      <c r="A30" s="24" t="s">
        <v>340</v>
      </c>
      <c r="B30" s="54">
        <v>185</v>
      </c>
      <c r="C30" s="45">
        <v>7.5</v>
      </c>
      <c r="D30" s="49">
        <v>1</v>
      </c>
      <c r="E30" s="49"/>
      <c r="F30" s="49"/>
      <c r="G30" s="72">
        <f t="shared" si="6"/>
        <v>165</v>
      </c>
      <c r="H30" s="72">
        <f t="shared" si="5"/>
        <v>150</v>
      </c>
      <c r="I30" s="72">
        <f t="shared" si="5"/>
        <v>165</v>
      </c>
      <c r="J30" s="72">
        <f t="shared" si="5"/>
        <v>127.5</v>
      </c>
      <c r="K30" s="72">
        <f t="shared" si="5"/>
        <v>142.5</v>
      </c>
      <c r="L30" s="72">
        <f t="shared" si="5"/>
        <v>142.5</v>
      </c>
      <c r="M30" s="72">
        <f t="shared" si="5"/>
        <v>75</v>
      </c>
      <c r="N30" s="72">
        <f t="shared" si="5"/>
        <v>120</v>
      </c>
      <c r="O30" s="72">
        <f t="shared" si="5"/>
        <v>165</v>
      </c>
      <c r="P30" s="72">
        <f t="shared" si="5"/>
        <v>165</v>
      </c>
      <c r="Q30" s="72">
        <f t="shared" si="5"/>
        <v>157.5</v>
      </c>
      <c r="R30" s="72">
        <f t="shared" si="5"/>
        <v>142.5</v>
      </c>
      <c r="S30" s="35">
        <f t="shared" si="1"/>
        <v>1717.5</v>
      </c>
    </row>
    <row r="31" spans="1:19" x14ac:dyDescent="0.3">
      <c r="A31" s="24" t="s">
        <v>343</v>
      </c>
      <c r="B31" s="45">
        <v>200</v>
      </c>
      <c r="C31" s="45">
        <v>7.5</v>
      </c>
      <c r="D31" s="49">
        <v>1</v>
      </c>
      <c r="E31" s="49"/>
      <c r="F31" s="49"/>
      <c r="G31" s="72"/>
      <c r="H31" s="72">
        <f t="shared" si="5"/>
        <v>150</v>
      </c>
      <c r="I31" s="72">
        <f t="shared" si="5"/>
        <v>165</v>
      </c>
      <c r="J31" s="72">
        <f t="shared" si="5"/>
        <v>127.5</v>
      </c>
      <c r="K31" s="72">
        <f t="shared" si="5"/>
        <v>142.5</v>
      </c>
      <c r="L31" s="72">
        <f t="shared" si="5"/>
        <v>142.5</v>
      </c>
      <c r="M31" s="72">
        <f t="shared" si="5"/>
        <v>75</v>
      </c>
      <c r="N31" s="72">
        <f t="shared" si="5"/>
        <v>120</v>
      </c>
      <c r="O31" s="72"/>
      <c r="P31" s="72"/>
      <c r="Q31" s="72"/>
      <c r="R31" s="72"/>
      <c r="S31" s="35">
        <f>SUM(G31:R31)</f>
        <v>922.5</v>
      </c>
    </row>
    <row r="32" spans="1:19" x14ac:dyDescent="0.3">
      <c r="A32" s="43" t="s">
        <v>197</v>
      </c>
      <c r="B32" s="45">
        <v>190</v>
      </c>
      <c r="C32" s="45">
        <v>7.5</v>
      </c>
      <c r="D32" s="49">
        <v>1</v>
      </c>
      <c r="E32" s="49"/>
      <c r="F32" s="49"/>
      <c r="G32" s="72"/>
      <c r="H32" s="72"/>
      <c r="I32" s="72"/>
      <c r="J32" s="72"/>
      <c r="K32" s="72">
        <f t="shared" si="5"/>
        <v>142.5</v>
      </c>
      <c r="L32" s="72">
        <f t="shared" si="5"/>
        <v>142.5</v>
      </c>
      <c r="M32" s="72">
        <f t="shared" si="5"/>
        <v>75</v>
      </c>
      <c r="N32" s="72">
        <f t="shared" si="5"/>
        <v>120</v>
      </c>
      <c r="O32" s="72">
        <f t="shared" si="5"/>
        <v>165</v>
      </c>
      <c r="P32" s="72"/>
      <c r="Q32" s="72"/>
      <c r="R32" s="72"/>
      <c r="S32" s="35">
        <f>SUM(G32:R32)</f>
        <v>645</v>
      </c>
    </row>
    <row r="33" spans="1:19" x14ac:dyDescent="0.3">
      <c r="A33" s="43" t="s">
        <v>197</v>
      </c>
      <c r="B33" s="45">
        <v>190</v>
      </c>
      <c r="C33" s="45">
        <v>7.5</v>
      </c>
      <c r="D33" s="49">
        <v>1</v>
      </c>
      <c r="E33" s="49"/>
      <c r="F33" s="49"/>
      <c r="G33" s="72"/>
      <c r="H33" s="72"/>
      <c r="I33" s="72"/>
      <c r="J33" s="72"/>
      <c r="K33" s="72">
        <f t="shared" si="5"/>
        <v>142.5</v>
      </c>
      <c r="L33" s="72">
        <f t="shared" si="5"/>
        <v>142.5</v>
      </c>
      <c r="M33" s="72">
        <f t="shared" si="5"/>
        <v>75</v>
      </c>
      <c r="N33" s="72">
        <f t="shared" si="5"/>
        <v>120</v>
      </c>
      <c r="O33" s="72">
        <f t="shared" si="5"/>
        <v>165</v>
      </c>
      <c r="P33" s="72"/>
      <c r="Q33" s="72"/>
      <c r="R33" s="72"/>
      <c r="S33" s="35">
        <f>SUM(G33:R33)</f>
        <v>645</v>
      </c>
    </row>
    <row r="34" spans="1:19" x14ac:dyDescent="0.3">
      <c r="A34" s="43" t="s">
        <v>197</v>
      </c>
      <c r="B34" s="45">
        <v>190</v>
      </c>
      <c r="C34" s="45">
        <v>7.5</v>
      </c>
      <c r="D34" s="49">
        <v>1</v>
      </c>
      <c r="E34" s="49"/>
      <c r="F34" s="49"/>
      <c r="G34" s="72"/>
      <c r="H34" s="72"/>
      <c r="I34" s="72"/>
      <c r="J34" s="72"/>
      <c r="K34" s="72">
        <f t="shared" si="5"/>
        <v>142.5</v>
      </c>
      <c r="L34" s="72">
        <f t="shared" si="5"/>
        <v>142.5</v>
      </c>
      <c r="M34" s="72">
        <f t="shared" si="5"/>
        <v>75</v>
      </c>
      <c r="N34" s="72">
        <f t="shared" si="5"/>
        <v>120</v>
      </c>
      <c r="O34" s="72">
        <f t="shared" si="5"/>
        <v>165</v>
      </c>
      <c r="P34" s="72"/>
      <c r="Q34" s="72"/>
      <c r="R34" s="72"/>
      <c r="S34" s="35">
        <f>SUM(G34:R34)</f>
        <v>645</v>
      </c>
    </row>
    <row r="35" spans="1:19" x14ac:dyDescent="0.3">
      <c r="A35" s="24"/>
      <c r="B35" s="54"/>
      <c r="C35" s="45"/>
      <c r="D35" s="79"/>
      <c r="E35" s="80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35"/>
    </row>
    <row r="36" spans="1:19" x14ac:dyDescent="0.3">
      <c r="A36" s="43"/>
      <c r="B36" s="45"/>
      <c r="C36" s="45"/>
      <c r="D36" s="79"/>
      <c r="E36" s="80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35"/>
    </row>
    <row r="37" spans="1:19" x14ac:dyDescent="0.3">
      <c r="A37" s="24" t="s">
        <v>44</v>
      </c>
      <c r="B37" s="54"/>
      <c r="C37" s="54"/>
      <c r="D37" s="49"/>
      <c r="E37" s="49"/>
      <c r="F37" s="49"/>
      <c r="G37" s="60">
        <f t="shared" ref="G37:S37" si="10">SUM(G5:G35)</f>
        <v>3625</v>
      </c>
      <c r="H37" s="60">
        <f t="shared" si="10"/>
        <v>3840</v>
      </c>
      <c r="I37" s="60">
        <f t="shared" si="10"/>
        <v>4224</v>
      </c>
      <c r="J37" s="60">
        <f t="shared" si="10"/>
        <v>3264</v>
      </c>
      <c r="K37" s="59">
        <f t="shared" si="10"/>
        <v>4075.5</v>
      </c>
      <c r="L37" s="59">
        <f t="shared" si="10"/>
        <v>4075.5</v>
      </c>
      <c r="M37" s="59">
        <f t="shared" si="10"/>
        <v>2145</v>
      </c>
      <c r="N37" s="59">
        <f t="shared" si="10"/>
        <v>3432</v>
      </c>
      <c r="O37" s="59">
        <f t="shared" si="10"/>
        <v>4554</v>
      </c>
      <c r="P37" s="60">
        <f t="shared" si="10"/>
        <v>4059</v>
      </c>
      <c r="Q37" s="60">
        <f t="shared" si="10"/>
        <v>3874.5</v>
      </c>
      <c r="R37" s="60">
        <f t="shared" si="10"/>
        <v>3505.5</v>
      </c>
      <c r="S37" s="60">
        <f t="shared" si="10"/>
        <v>44674</v>
      </c>
    </row>
    <row r="38" spans="1:19" x14ac:dyDescent="0.3">
      <c r="A38" s="43" t="s">
        <v>178</v>
      </c>
      <c r="G38" s="21"/>
      <c r="H38" s="21"/>
      <c r="I38" s="21"/>
      <c r="J38" s="77">
        <v>3.6999999999999998E-2</v>
      </c>
      <c r="K38" s="77">
        <f>J38</f>
        <v>3.6999999999999998E-2</v>
      </c>
      <c r="L38" s="77">
        <f t="shared" ref="L38:R38" si="11">K38</f>
        <v>3.6999999999999998E-2</v>
      </c>
      <c r="M38" s="77">
        <f t="shared" si="11"/>
        <v>3.6999999999999998E-2</v>
      </c>
      <c r="N38" s="77">
        <f t="shared" si="11"/>
        <v>3.6999999999999998E-2</v>
      </c>
      <c r="O38" s="77">
        <f t="shared" si="11"/>
        <v>3.6999999999999998E-2</v>
      </c>
      <c r="P38" s="77">
        <f t="shared" si="11"/>
        <v>3.6999999999999998E-2</v>
      </c>
      <c r="Q38" s="77">
        <f t="shared" si="11"/>
        <v>3.6999999999999998E-2</v>
      </c>
      <c r="R38" s="77">
        <f t="shared" si="11"/>
        <v>3.6999999999999998E-2</v>
      </c>
      <c r="S38" s="24"/>
    </row>
    <row r="39" spans="1:19" x14ac:dyDescent="0.3">
      <c r="A39" s="24" t="s">
        <v>72</v>
      </c>
      <c r="B39" s="34"/>
      <c r="C39" s="34"/>
      <c r="F39" s="50"/>
      <c r="G39" s="16">
        <f>(G5*$B$5+G6*$B$6+G7*$B$7+G8*$B$8+G9*$B$9+G10*$B$10+G11*$B$11+G12*$B$12+G13*$B$13+G14*$B$14+G15*$B$15+$B$16*G16+$B$17*G17+$B$18*G18+$B$19*G19+$B$20*G20+G21*$B$21+G22*$B$22+G23*$B$23+G24*$B$24+G25*$B$25+G26*$B$26+G27*$B$27+G28*$B$28+G29*$B$29+G30*$B$30+G31*$B$31+G32*$B$32+G33*$B$33+G34*$B$34)*(1+G38)</f>
        <v>920696.92307692301</v>
      </c>
      <c r="H39" s="16">
        <f t="shared" ref="H39:R39" si="12">(H5*$B$5+H6*$B$6+H7*$B$7+H8*$B$8+H9*$B$9+H10*$B$10+H11*$B$11+H12*$B$12+H13*$B$13+H14*$B$14+H15*$B$15+$B$16*H16+$B$17*H17+$B$18*H18+$B$19*H19+$B$20*H20+H21*$B$21+H22*$B$22+H23*$B$23+H24*$B$24+H25*$B$25+H26*$B$26+H27*$B$27+H28*$B$28+H29*$B$29+H30*$B$30+H31*$B$31+H32*$B$32+H33*$B$33+H34*$B$34)*(1+H38)</f>
        <v>961510.38461538462</v>
      </c>
      <c r="I39" s="16">
        <f t="shared" si="12"/>
        <v>1057661.423076923</v>
      </c>
      <c r="J39" s="16">
        <f t="shared" si="12"/>
        <v>847523.32851923082</v>
      </c>
      <c r="K39" s="16">
        <f t="shared" si="12"/>
        <v>1031462.2804038461</v>
      </c>
      <c r="L39" s="16">
        <f t="shared" si="12"/>
        <v>1031462.2804038461</v>
      </c>
      <c r="M39" s="16">
        <f t="shared" si="12"/>
        <v>542874.88442307687</v>
      </c>
      <c r="N39" s="16">
        <f t="shared" si="12"/>
        <v>868599.81507692311</v>
      </c>
      <c r="O39" s="16">
        <f t="shared" si="12"/>
        <v>1160103.7457307691</v>
      </c>
      <c r="P39" s="16">
        <f t="shared" si="12"/>
        <v>1062573.895730769</v>
      </c>
      <c r="Q39" s="16">
        <f t="shared" si="12"/>
        <v>1014275.0822884615</v>
      </c>
      <c r="R39" s="16">
        <f t="shared" si="12"/>
        <v>917677.45540384611</v>
      </c>
      <c r="S39" s="16">
        <f>SUM(G39:R39)</f>
        <v>11416421.498749999</v>
      </c>
    </row>
    <row r="40" spans="1:19" x14ac:dyDescent="0.3">
      <c r="A40" s="24" t="s">
        <v>145</v>
      </c>
      <c r="B40" s="34"/>
      <c r="C40" s="34"/>
      <c r="F40" s="50"/>
      <c r="G40" s="16">
        <f t="shared" ref="G40:R40" si="13">(G1*AVERAGE($C$5:$C$35)*AVERAGE($B$5:$B$35)*COUNT(G5:G35))*(1+G38)</f>
        <v>44885.892857142855</v>
      </c>
      <c r="H40" s="16">
        <f t="shared" si="13"/>
        <v>0</v>
      </c>
      <c r="I40" s="16">
        <f t="shared" si="13"/>
        <v>0</v>
      </c>
      <c r="J40" s="16">
        <f t="shared" si="13"/>
        <v>145458.34654017855</v>
      </c>
      <c r="K40" s="16">
        <f t="shared" si="13"/>
        <v>108608.89874999999</v>
      </c>
      <c r="L40" s="16">
        <f t="shared" si="13"/>
        <v>54304.449374999997</v>
      </c>
      <c r="M40" s="16">
        <f t="shared" si="13"/>
        <v>0</v>
      </c>
      <c r="N40" s="16">
        <f t="shared" si="13"/>
        <v>0</v>
      </c>
      <c r="O40" s="16">
        <f t="shared" si="13"/>
        <v>0</v>
      </c>
      <c r="P40" s="16">
        <f t="shared" si="13"/>
        <v>0</v>
      </c>
      <c r="Q40" s="16">
        <f t="shared" si="13"/>
        <v>0</v>
      </c>
      <c r="R40" s="16">
        <f t="shared" si="13"/>
        <v>46546.670892857139</v>
      </c>
      <c r="S40" s="16">
        <f>SUM(G40:R40)</f>
        <v>399804.25841517851</v>
      </c>
    </row>
    <row r="41" spans="1:19" x14ac:dyDescent="0.3">
      <c r="A41" s="24"/>
      <c r="B41" s="34"/>
      <c r="C41" s="34"/>
      <c r="F41" s="50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>
        <f>SUM(S39:S40)</f>
        <v>11816225.757165179</v>
      </c>
    </row>
    <row r="42" spans="1:19" x14ac:dyDescent="0.3">
      <c r="A42" s="43" t="s">
        <v>68</v>
      </c>
      <c r="B42" s="34"/>
      <c r="C42" s="34"/>
      <c r="F42" s="50"/>
      <c r="G42" s="46">
        <f>G8*$D$8++G6*$D$6+G7*$D$7+G9*$D$9+G10*$D$10+G11*$D$11+G12*$D$12+$D$24*G24+$D$21*G21+$D$22*G22+$D$23*G23+$D$16*G16+$D$17*G17+$D$18*G18+$D$19*G19+$D$20*G20+$D$25*G25+$D$26*G26+$D$27*G27+$D$28*G28+$D$29*G29+$D$30*G30+$D$31*G31+$D$32*G32+$D$33*G33+$D$34*G34</f>
        <v>2432</v>
      </c>
      <c r="H42" s="46">
        <f t="shared" ref="H42:R42" si="14">H8*$D$8++H6*$D$6+H7*$D$7+H9*$D$9+H10*$D$10+H11*$D$11+H12*$D$12+$D$24*H24+$D$21*H21+$D$22*H22+$D$23*H23+$D$16*H16+$D$17*H17+$D$18*H18+$D$19*H19+$D$20*H20+$D$25*H25+$D$26*H26+$D$27*H27+$D$28*H28+$D$29*H29+$D$30*H30+$D$31*H31+$D$32*H32+$D$33*H33+$D$34*H34</f>
        <v>2506.5</v>
      </c>
      <c r="I42" s="46">
        <f t="shared" si="14"/>
        <v>2757.15</v>
      </c>
      <c r="J42" s="46">
        <f t="shared" si="14"/>
        <v>2130.5250000000001</v>
      </c>
      <c r="K42" s="46">
        <f t="shared" si="14"/>
        <v>2808.6750000000002</v>
      </c>
      <c r="L42" s="46">
        <f t="shared" si="14"/>
        <v>2808.6750000000002</v>
      </c>
      <c r="M42" s="46">
        <f t="shared" si="14"/>
        <v>1478.25</v>
      </c>
      <c r="N42" s="46">
        <f t="shared" si="14"/>
        <v>2365.1999999999998</v>
      </c>
      <c r="O42" s="46">
        <f t="shared" si="14"/>
        <v>3087.15</v>
      </c>
      <c r="P42" s="46">
        <f t="shared" si="14"/>
        <v>2592.15</v>
      </c>
      <c r="Q42" s="46">
        <f t="shared" si="14"/>
        <v>2474.3249999999998</v>
      </c>
      <c r="R42" s="46">
        <f t="shared" si="14"/>
        <v>2238.6750000000002</v>
      </c>
      <c r="S42" s="61">
        <f>SUM(G42:R42)</f>
        <v>29679.275000000001</v>
      </c>
    </row>
    <row r="43" spans="1:19" x14ac:dyDescent="0.3">
      <c r="A43" s="43" t="s">
        <v>69</v>
      </c>
      <c r="B43" s="34"/>
      <c r="C43" s="34"/>
      <c r="F43" s="50"/>
      <c r="G43" s="46">
        <f>G5*$E$5+G6*$E$6+G7*$E$7+G9*$E$9+G10*$E$10+G11*$E$11+G12*$E$12+G35*$E$35+$E$13*G13+$E$14*G14+$E$15*G15+$E$16*G16+$E$17*G17+$E$18*G18+$E$19*G19+$E$20*G20</f>
        <v>780.5</v>
      </c>
      <c r="H43" s="46">
        <f t="shared" ref="H43:R43" si="15">H5*$E$5+H6*$E$6+H7*$E$7+H9*$E$9+H10*$E$10+H11*$E$11+H12*$E$12+H35*$E$35+$E$13*H13+$E$14*H14+$E$15*H15+$E$16*H16+$E$17*H17+$E$18*H18+$E$19*H19+$E$20*H20</f>
        <v>958.5</v>
      </c>
      <c r="I43" s="46">
        <f t="shared" si="15"/>
        <v>1054.3499999999999</v>
      </c>
      <c r="J43" s="46">
        <f t="shared" si="15"/>
        <v>814.72500000000002</v>
      </c>
      <c r="K43" s="46">
        <f t="shared" si="15"/>
        <v>910.57500000000005</v>
      </c>
      <c r="L43" s="46">
        <f t="shared" si="15"/>
        <v>910.57500000000005</v>
      </c>
      <c r="M43" s="46">
        <f t="shared" si="15"/>
        <v>479.25</v>
      </c>
      <c r="N43" s="46">
        <f t="shared" si="15"/>
        <v>766.8</v>
      </c>
      <c r="O43" s="46">
        <f t="shared" si="15"/>
        <v>1054.3499999999999</v>
      </c>
      <c r="P43" s="46">
        <f t="shared" si="15"/>
        <v>1054.3499999999999</v>
      </c>
      <c r="Q43" s="46">
        <f t="shared" si="15"/>
        <v>1006.425</v>
      </c>
      <c r="R43" s="46">
        <f t="shared" si="15"/>
        <v>910.57500000000005</v>
      </c>
      <c r="S43" s="61">
        <f>SUM(G43:R43)</f>
        <v>10700.975</v>
      </c>
    </row>
    <row r="44" spans="1:19" x14ac:dyDescent="0.3">
      <c r="A44" s="43" t="s">
        <v>141</v>
      </c>
      <c r="B44" s="34"/>
      <c r="C44" s="34"/>
      <c r="F44" s="50"/>
      <c r="G44" s="46">
        <f>G5*$F$5+G6*$F$6+G8*$F$8+G7*$F$7</f>
        <v>412.5</v>
      </c>
      <c r="H44" s="46">
        <f t="shared" ref="H44:R44" si="16">H5*$F$5+H6*$F$6+H8*$F$8+H7*$F$7</f>
        <v>375</v>
      </c>
      <c r="I44" s="46">
        <f t="shared" si="16"/>
        <v>412.5</v>
      </c>
      <c r="J44" s="46">
        <f t="shared" si="16"/>
        <v>318.75</v>
      </c>
      <c r="K44" s="46">
        <f t="shared" si="16"/>
        <v>356.25</v>
      </c>
      <c r="L44" s="46">
        <f t="shared" si="16"/>
        <v>356.25</v>
      </c>
      <c r="M44" s="46">
        <f t="shared" si="16"/>
        <v>187.5</v>
      </c>
      <c r="N44" s="46">
        <f t="shared" si="16"/>
        <v>300</v>
      </c>
      <c r="O44" s="46">
        <f t="shared" si="16"/>
        <v>412.5</v>
      </c>
      <c r="P44" s="46">
        <f t="shared" si="16"/>
        <v>412.5</v>
      </c>
      <c r="Q44" s="46">
        <f t="shared" si="16"/>
        <v>393.75</v>
      </c>
      <c r="R44" s="46">
        <f t="shared" si="16"/>
        <v>356.25</v>
      </c>
      <c r="S44" s="61">
        <f>SUM(G44:R44)</f>
        <v>4293.75</v>
      </c>
    </row>
    <row r="45" spans="1:19" x14ac:dyDescent="0.3">
      <c r="A45" s="24"/>
      <c r="B45" s="34"/>
      <c r="C45" s="34"/>
      <c r="F45" s="50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f>SUM(S42:S44)</f>
        <v>44674</v>
      </c>
    </row>
    <row r="46" spans="1:19" x14ac:dyDescent="0.3">
      <c r="G46" s="63">
        <v>1.1000000000000001</v>
      </c>
      <c r="H46" s="63">
        <v>1.05</v>
      </c>
      <c r="I46" s="63">
        <v>1</v>
      </c>
      <c r="J46" s="63">
        <v>1</v>
      </c>
      <c r="K46" s="63">
        <v>1</v>
      </c>
      <c r="L46" s="63">
        <v>1</v>
      </c>
      <c r="M46" s="63">
        <v>1</v>
      </c>
      <c r="N46" s="63">
        <v>1.05</v>
      </c>
      <c r="O46" s="63">
        <v>1.05</v>
      </c>
      <c r="P46" s="63">
        <v>1.05</v>
      </c>
      <c r="Q46" s="63">
        <v>0.95</v>
      </c>
      <c r="R46" s="63">
        <v>0.95</v>
      </c>
    </row>
    <row r="47" spans="1:19" x14ac:dyDescent="0.3">
      <c r="A47" s="43" t="s">
        <v>56</v>
      </c>
      <c r="B47" s="34">
        <v>700</v>
      </c>
      <c r="C47" s="92">
        <v>0.94</v>
      </c>
      <c r="G47" s="46">
        <f>G42*$B47*G46*$C47</f>
        <v>1760281.6000000001</v>
      </c>
      <c r="H47" s="46">
        <f t="shared" ref="H47:R47" si="17">H42*$B47*H46*$C47</f>
        <v>1731740.8499999999</v>
      </c>
      <c r="I47" s="46">
        <f t="shared" si="17"/>
        <v>1814204.7</v>
      </c>
      <c r="J47" s="46">
        <f t="shared" si="17"/>
        <v>1401885.45</v>
      </c>
      <c r="K47" s="46">
        <f t="shared" si="17"/>
        <v>1848108.1500000001</v>
      </c>
      <c r="L47" s="46">
        <f t="shared" si="17"/>
        <v>1848108.1500000001</v>
      </c>
      <c r="M47" s="46">
        <f t="shared" si="17"/>
        <v>972688.5</v>
      </c>
      <c r="N47" s="46">
        <f t="shared" si="17"/>
        <v>1634116.6799999997</v>
      </c>
      <c r="O47" s="46">
        <f t="shared" si="17"/>
        <v>2132911.9350000001</v>
      </c>
      <c r="P47" s="46">
        <f t="shared" si="17"/>
        <v>1790916.4349999998</v>
      </c>
      <c r="Q47" s="46">
        <f t="shared" si="17"/>
        <v>1546700.5574999996</v>
      </c>
      <c r="R47" s="46">
        <f t="shared" si="17"/>
        <v>1399395.7425000002</v>
      </c>
      <c r="S47" s="46">
        <f>SUM(G47:R47)</f>
        <v>19881058.75</v>
      </c>
    </row>
    <row r="48" spans="1:19" x14ac:dyDescent="0.3">
      <c r="A48" s="43" t="s">
        <v>57</v>
      </c>
      <c r="B48" s="37">
        <v>760</v>
      </c>
      <c r="C48" s="92">
        <v>0.94</v>
      </c>
      <c r="D48" s="51"/>
      <c r="E48" s="51"/>
      <c r="G48" s="46">
        <f t="shared" ref="G48:R48" si="18">G43*$B48*G46*$C48</f>
        <v>613348.12</v>
      </c>
      <c r="H48" s="46">
        <f t="shared" si="18"/>
        <v>718990.0199999999</v>
      </c>
      <c r="I48" s="46">
        <f t="shared" si="18"/>
        <v>753227.6399999999</v>
      </c>
      <c r="J48" s="46">
        <f t="shared" si="18"/>
        <v>582039.53999999992</v>
      </c>
      <c r="K48" s="46">
        <f t="shared" si="18"/>
        <v>650514.77999999991</v>
      </c>
      <c r="L48" s="46">
        <f t="shared" si="18"/>
        <v>650514.77999999991</v>
      </c>
      <c r="M48" s="46">
        <f t="shared" si="18"/>
        <v>342376.19999999995</v>
      </c>
      <c r="N48" s="46">
        <f t="shared" si="18"/>
        <v>575192.01599999995</v>
      </c>
      <c r="O48" s="46">
        <f t="shared" si="18"/>
        <v>790889.02199999988</v>
      </c>
      <c r="P48" s="46">
        <f t="shared" si="18"/>
        <v>790889.02199999988</v>
      </c>
      <c r="Q48" s="46">
        <f t="shared" si="18"/>
        <v>683040.51899999997</v>
      </c>
      <c r="R48" s="46">
        <f t="shared" si="18"/>
        <v>617989.04099999997</v>
      </c>
      <c r="S48" s="46">
        <f>SUM(G48:R48)</f>
        <v>7769010.6999999993</v>
      </c>
    </row>
    <row r="49" spans="1:19" x14ac:dyDescent="0.3">
      <c r="A49" s="43" t="s">
        <v>142</v>
      </c>
      <c r="C49" s="39"/>
      <c r="G49" s="17">
        <f t="shared" ref="G49:S49" si="19">SUM(G47:G48)</f>
        <v>2373629.7200000002</v>
      </c>
      <c r="H49" s="17">
        <f t="shared" si="19"/>
        <v>2450730.8699999996</v>
      </c>
      <c r="I49" s="17">
        <f t="shared" si="19"/>
        <v>2567432.34</v>
      </c>
      <c r="J49" s="17">
        <f t="shared" si="19"/>
        <v>1983924.9899999998</v>
      </c>
      <c r="K49" s="17">
        <f t="shared" si="19"/>
        <v>2498622.9300000002</v>
      </c>
      <c r="L49" s="17">
        <f t="shared" si="19"/>
        <v>2498622.9300000002</v>
      </c>
      <c r="M49" s="17">
        <f t="shared" si="19"/>
        <v>1315064.7</v>
      </c>
      <c r="N49" s="17">
        <f t="shared" si="19"/>
        <v>2209308.6959999995</v>
      </c>
      <c r="O49" s="17">
        <f t="shared" si="19"/>
        <v>2923800.9569999999</v>
      </c>
      <c r="P49" s="17">
        <f t="shared" si="19"/>
        <v>2581805.4569999995</v>
      </c>
      <c r="Q49" s="17">
        <f t="shared" si="19"/>
        <v>2229741.0764999995</v>
      </c>
      <c r="R49" s="17">
        <f t="shared" si="19"/>
        <v>2017384.7835000001</v>
      </c>
      <c r="S49" s="17">
        <f t="shared" si="19"/>
        <v>27650069.449999999</v>
      </c>
    </row>
    <row r="50" spans="1:19" x14ac:dyDescent="0.3">
      <c r="A50" s="43" t="s">
        <v>65</v>
      </c>
      <c r="B50" s="34"/>
      <c r="C50" s="34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 s="21"/>
      <c r="B51" s="34"/>
      <c r="C51" s="34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15"/>
    </row>
    <row r="52" spans="1:19" x14ac:dyDescent="0.3">
      <c r="A52" s="21"/>
      <c r="B52" s="34"/>
      <c r="C52" s="3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9" x14ac:dyDescent="0.3">
      <c r="A53" s="21"/>
      <c r="B53" s="34"/>
      <c r="C53" s="34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9" x14ac:dyDescent="0.3">
      <c r="A54" s="21"/>
      <c r="B54" s="34"/>
      <c r="C54" s="34"/>
      <c r="G54" s="15"/>
      <c r="H54" s="15"/>
      <c r="I54" s="15">
        <f>I39/I37</f>
        <v>250.39332932692307</v>
      </c>
      <c r="J54" s="15"/>
      <c r="K54" s="15">
        <f>K39/K37</f>
        <v>253.08852420656265</v>
      </c>
      <c r="L54" s="15">
        <f>L39/L37</f>
        <v>253.08852420656265</v>
      </c>
      <c r="M54" s="15"/>
      <c r="N54" s="15"/>
      <c r="O54" s="15"/>
      <c r="P54" s="15"/>
      <c r="Q54" s="15"/>
      <c r="R54" s="15"/>
    </row>
    <row r="55" spans="1:19" x14ac:dyDescent="0.3">
      <c r="A55" s="21"/>
      <c r="B55" s="34"/>
      <c r="C55" s="34"/>
      <c r="G55" s="15"/>
      <c r="H55" s="15"/>
      <c r="I55" s="15"/>
      <c r="J55" s="15"/>
      <c r="K55" s="132">
        <f>K54/I54</f>
        <v>1.0107638445755902</v>
      </c>
      <c r="L55" s="15"/>
      <c r="M55" s="15"/>
      <c r="N55" s="15"/>
      <c r="O55" s="15"/>
      <c r="P55" s="15"/>
      <c r="Q55" s="15"/>
      <c r="R55" s="15"/>
    </row>
    <row r="56" spans="1:19" x14ac:dyDescent="0.3">
      <c r="A56" s="21"/>
      <c r="B56" s="34"/>
      <c r="C56" s="34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9" x14ac:dyDescent="0.3">
      <c r="A57" s="21"/>
      <c r="B57" s="34"/>
      <c r="C57" s="34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9" x14ac:dyDescent="0.3">
      <c r="A58" s="21"/>
      <c r="B58" s="34"/>
      <c r="C58" s="34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9" x14ac:dyDescent="0.3">
      <c r="A59" s="21"/>
      <c r="B59" s="34"/>
      <c r="C59" s="34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9" x14ac:dyDescent="0.3">
      <c r="A60" s="21"/>
      <c r="B60" s="34"/>
      <c r="C60" s="34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9" x14ac:dyDescent="0.3">
      <c r="A61" s="21"/>
      <c r="B61" s="34"/>
      <c r="C61" s="34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9" x14ac:dyDescent="0.3">
      <c r="A62" s="21"/>
      <c r="B62" s="34"/>
      <c r="C62" s="34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9" x14ac:dyDescent="0.3">
      <c r="A63" s="21"/>
      <c r="B63" s="34"/>
      <c r="C63" s="34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9" x14ac:dyDescent="0.3">
      <c r="A64" s="21"/>
      <c r="B64" s="34"/>
      <c r="C64" s="34"/>
    </row>
  </sheetData>
  <pageMargins left="0.23622047244094491" right="0.23622047244094491" top="0.74803149606299213" bottom="0.74803149606299213" header="0.31496062992125984" footer="0.31496062992125984"/>
  <pageSetup paperSize="9" scale="8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59"/>
  <sheetViews>
    <sheetView topLeftCell="A28" zoomScaleNormal="100" workbookViewId="0">
      <selection activeCell="A44" sqref="A44:XFD44"/>
    </sheetView>
  </sheetViews>
  <sheetFormatPr baseColWidth="10" defaultRowHeight="12.45" x14ac:dyDescent="0.3"/>
  <cols>
    <col min="1" max="1" width="24.53515625" customWidth="1"/>
    <col min="2" max="2" width="7.84375" style="85" bestFit="1" customWidth="1"/>
    <col min="3" max="3" width="8" style="36" customWidth="1"/>
    <col min="4" max="4" width="5.07421875" style="48" customWidth="1"/>
    <col min="5" max="6" width="4.07421875" style="48" customWidth="1"/>
    <col min="7" max="15" width="8.69140625" customWidth="1"/>
    <col min="16" max="16" width="9.53515625" customWidth="1"/>
    <col min="17" max="18" width="8.69140625" customWidth="1"/>
  </cols>
  <sheetData>
    <row r="1" spans="1:20" x14ac:dyDescent="0.3">
      <c r="A1" s="8" t="s">
        <v>42</v>
      </c>
    </row>
    <row r="2" spans="1:20" x14ac:dyDescent="0.3">
      <c r="A2" s="8"/>
      <c r="G2" s="58">
        <v>1</v>
      </c>
      <c r="H2" s="58">
        <v>0</v>
      </c>
      <c r="I2" s="58">
        <v>0</v>
      </c>
      <c r="J2" s="119">
        <v>3</v>
      </c>
      <c r="K2" s="58">
        <v>2</v>
      </c>
      <c r="L2" s="58">
        <v>1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1</v>
      </c>
      <c r="S2" s="58">
        <f>SUM(G2:R2)</f>
        <v>8</v>
      </c>
      <c r="T2" s="62" t="s">
        <v>143</v>
      </c>
    </row>
    <row r="3" spans="1:20" x14ac:dyDescent="0.3">
      <c r="A3" s="21"/>
      <c r="G3" s="119">
        <v>22</v>
      </c>
      <c r="H3" s="119">
        <v>20</v>
      </c>
      <c r="I3" s="119">
        <v>22</v>
      </c>
      <c r="J3" s="119">
        <v>19</v>
      </c>
      <c r="K3" s="58">
        <v>19</v>
      </c>
      <c r="L3" s="58">
        <v>21</v>
      </c>
      <c r="M3" s="58">
        <v>23</v>
      </c>
      <c r="N3" s="58">
        <v>21</v>
      </c>
      <c r="O3" s="58">
        <v>22</v>
      </c>
      <c r="P3" s="58">
        <v>22</v>
      </c>
      <c r="Q3" s="58">
        <v>21</v>
      </c>
      <c r="R3" s="58">
        <v>22</v>
      </c>
      <c r="S3" s="58">
        <f>SUM(G3:R3)</f>
        <v>254</v>
      </c>
      <c r="T3" s="62" t="s">
        <v>144</v>
      </c>
    </row>
    <row r="4" spans="1:20" s="43" customFormat="1" ht="10.3" x14ac:dyDescent="0.25">
      <c r="B4" s="55"/>
      <c r="C4" s="55"/>
      <c r="D4" s="55"/>
      <c r="E4" s="55"/>
      <c r="F4" s="55"/>
      <c r="G4" s="62"/>
      <c r="H4" s="62"/>
      <c r="I4" s="62"/>
      <c r="J4" s="62">
        <v>2</v>
      </c>
      <c r="K4" s="62"/>
      <c r="L4" s="62">
        <v>2</v>
      </c>
      <c r="M4" s="62">
        <v>13</v>
      </c>
      <c r="N4" s="62">
        <v>5</v>
      </c>
      <c r="O4" s="62"/>
      <c r="P4" s="62"/>
      <c r="Q4" s="62"/>
      <c r="R4" s="62">
        <v>3</v>
      </c>
      <c r="S4" s="62">
        <f>SUM(G4:R4)</f>
        <v>25</v>
      </c>
      <c r="T4" s="62" t="s">
        <v>139</v>
      </c>
    </row>
    <row r="5" spans="1:20" x14ac:dyDescent="0.3">
      <c r="A5" s="21"/>
      <c r="B5" s="55" t="s">
        <v>45</v>
      </c>
      <c r="C5" s="55" t="s">
        <v>160</v>
      </c>
      <c r="D5" s="48" t="s">
        <v>130</v>
      </c>
      <c r="E5" s="48" t="s">
        <v>347</v>
      </c>
      <c r="F5" s="48" t="s">
        <v>162</v>
      </c>
      <c r="G5" s="40" t="s">
        <v>25</v>
      </c>
      <c r="H5" s="40" t="s">
        <v>35</v>
      </c>
      <c r="I5" s="40" t="s">
        <v>26</v>
      </c>
      <c r="J5" s="40" t="s">
        <v>27</v>
      </c>
      <c r="K5" s="40" t="s">
        <v>2</v>
      </c>
      <c r="L5" s="40" t="s">
        <v>28</v>
      </c>
      <c r="M5" s="40" t="s">
        <v>29</v>
      </c>
      <c r="N5" s="40" t="s">
        <v>30</v>
      </c>
      <c r="O5" s="40" t="s">
        <v>31</v>
      </c>
      <c r="P5" s="40" t="s">
        <v>32</v>
      </c>
      <c r="Q5" s="40" t="s">
        <v>33</v>
      </c>
      <c r="R5" s="40" t="s">
        <v>34</v>
      </c>
      <c r="S5" s="40" t="s">
        <v>3</v>
      </c>
    </row>
    <row r="6" spans="1:20" x14ac:dyDescent="0.3">
      <c r="A6" s="43" t="s">
        <v>348</v>
      </c>
      <c r="B6" s="54">
        <f>720000/12/162.5</f>
        <v>369.23076923076923</v>
      </c>
      <c r="C6" s="45">
        <v>7.5</v>
      </c>
      <c r="D6" s="49">
        <v>1</v>
      </c>
      <c r="E6" s="49"/>
      <c r="F6" s="49"/>
      <c r="G6" s="21">
        <f>(G$3-G$4)*$C6</f>
        <v>165</v>
      </c>
      <c r="H6" s="21">
        <f t="shared" ref="H6:R6" si="0">(H$3-H$4)*$C6</f>
        <v>150</v>
      </c>
      <c r="I6" s="21">
        <f t="shared" si="0"/>
        <v>165</v>
      </c>
      <c r="J6" s="21">
        <f t="shared" si="0"/>
        <v>127.5</v>
      </c>
      <c r="K6" s="21">
        <f t="shared" si="0"/>
        <v>142.5</v>
      </c>
      <c r="L6" s="21">
        <f t="shared" si="0"/>
        <v>142.5</v>
      </c>
      <c r="M6" s="21">
        <f t="shared" si="0"/>
        <v>75</v>
      </c>
      <c r="N6" s="21">
        <f t="shared" si="0"/>
        <v>120</v>
      </c>
      <c r="O6" s="21">
        <f t="shared" si="0"/>
        <v>165</v>
      </c>
      <c r="P6" s="21">
        <f t="shared" si="0"/>
        <v>165</v>
      </c>
      <c r="Q6" s="21">
        <f t="shared" si="0"/>
        <v>157.5</v>
      </c>
      <c r="R6" s="21">
        <f t="shared" si="0"/>
        <v>142.5</v>
      </c>
      <c r="S6" s="61">
        <f>SUM(G6:R6)</f>
        <v>1717.5</v>
      </c>
    </row>
    <row r="7" spans="1:20" x14ac:dyDescent="0.3">
      <c r="A7" s="43" t="s">
        <v>349</v>
      </c>
      <c r="B7" s="54">
        <f>630000/12/162.5</f>
        <v>323.07692307692309</v>
      </c>
      <c r="C7" s="45">
        <v>7.5</v>
      </c>
      <c r="D7" s="49">
        <v>1</v>
      </c>
      <c r="E7" s="49"/>
      <c r="F7" s="49"/>
      <c r="G7" s="21">
        <f t="shared" ref="G7:R22" si="1">(G$3-G$4)*$C7</f>
        <v>165</v>
      </c>
      <c r="H7" s="21">
        <f t="shared" si="1"/>
        <v>150</v>
      </c>
      <c r="I7" s="21">
        <f t="shared" si="1"/>
        <v>165</v>
      </c>
      <c r="J7" s="21">
        <f t="shared" si="1"/>
        <v>127.5</v>
      </c>
      <c r="K7" s="21">
        <f t="shared" si="1"/>
        <v>142.5</v>
      </c>
      <c r="L7" s="21">
        <f t="shared" si="1"/>
        <v>142.5</v>
      </c>
      <c r="M7" s="21">
        <f t="shared" si="1"/>
        <v>75</v>
      </c>
      <c r="N7" s="21">
        <f t="shared" si="1"/>
        <v>120</v>
      </c>
      <c r="O7" s="21">
        <f t="shared" si="1"/>
        <v>165</v>
      </c>
      <c r="P7" s="21">
        <f t="shared" si="1"/>
        <v>165</v>
      </c>
      <c r="Q7" s="21">
        <f t="shared" si="1"/>
        <v>157.5</v>
      </c>
      <c r="R7" s="21">
        <f t="shared" si="1"/>
        <v>142.5</v>
      </c>
      <c r="S7" s="61">
        <f>SUM(G7:R7)</f>
        <v>1717.5</v>
      </c>
    </row>
    <row r="8" spans="1:20" x14ac:dyDescent="0.3">
      <c r="A8" s="43" t="s">
        <v>345</v>
      </c>
      <c r="B8" s="54">
        <f>600000/12/162.5</f>
        <v>307.69230769230768</v>
      </c>
      <c r="C8" s="45">
        <v>7.5</v>
      </c>
      <c r="D8" s="49">
        <v>0.7</v>
      </c>
      <c r="E8" s="49">
        <v>0.3</v>
      </c>
      <c r="F8" s="49"/>
      <c r="G8" s="21">
        <f t="shared" si="1"/>
        <v>165</v>
      </c>
      <c r="H8" s="21">
        <f t="shared" si="1"/>
        <v>150</v>
      </c>
      <c r="I8" s="21">
        <f t="shared" si="1"/>
        <v>165</v>
      </c>
      <c r="J8" s="21">
        <f t="shared" si="1"/>
        <v>127.5</v>
      </c>
      <c r="K8" s="21">
        <f t="shared" si="1"/>
        <v>142.5</v>
      </c>
      <c r="L8" s="21">
        <f t="shared" si="1"/>
        <v>142.5</v>
      </c>
      <c r="M8" s="21">
        <f t="shared" si="1"/>
        <v>75</v>
      </c>
      <c r="N8" s="21">
        <f t="shared" si="1"/>
        <v>120</v>
      </c>
      <c r="O8" s="21">
        <f t="shared" si="1"/>
        <v>165</v>
      </c>
      <c r="P8" s="21">
        <f t="shared" si="1"/>
        <v>165</v>
      </c>
      <c r="Q8" s="21">
        <f t="shared" si="1"/>
        <v>157.5</v>
      </c>
      <c r="R8" s="21">
        <f t="shared" si="1"/>
        <v>142.5</v>
      </c>
      <c r="S8" s="61">
        <f t="shared" ref="S8:S42" si="2">SUM(G8:R8)</f>
        <v>1717.5</v>
      </c>
    </row>
    <row r="9" spans="1:20" x14ac:dyDescent="0.3">
      <c r="A9" s="43" t="s">
        <v>346</v>
      </c>
      <c r="B9" s="54">
        <f>261+(6500/162.5)</f>
        <v>301</v>
      </c>
      <c r="C9" s="45">
        <v>7.5</v>
      </c>
      <c r="D9" s="49">
        <v>0.4</v>
      </c>
      <c r="E9" s="49">
        <v>0.6</v>
      </c>
      <c r="F9" s="49"/>
      <c r="G9" s="21">
        <f t="shared" si="1"/>
        <v>165</v>
      </c>
      <c r="H9" s="21">
        <f t="shared" si="1"/>
        <v>150</v>
      </c>
      <c r="I9" s="21">
        <f t="shared" si="1"/>
        <v>165</v>
      </c>
      <c r="J9" s="21">
        <f t="shared" si="1"/>
        <v>127.5</v>
      </c>
      <c r="K9" s="21">
        <f t="shared" si="1"/>
        <v>142.5</v>
      </c>
      <c r="L9" s="21">
        <f t="shared" si="1"/>
        <v>142.5</v>
      </c>
      <c r="M9" s="21">
        <f t="shared" si="1"/>
        <v>75</v>
      </c>
      <c r="N9" s="21">
        <f t="shared" si="1"/>
        <v>120</v>
      </c>
      <c r="O9" s="21">
        <f t="shared" si="1"/>
        <v>165</v>
      </c>
      <c r="P9" s="21">
        <f t="shared" si="1"/>
        <v>165</v>
      </c>
      <c r="Q9" s="21">
        <f t="shared" si="1"/>
        <v>157.5</v>
      </c>
      <c r="R9" s="21">
        <f t="shared" si="1"/>
        <v>142.5</v>
      </c>
      <c r="S9" s="61">
        <f t="shared" si="2"/>
        <v>1717.5</v>
      </c>
    </row>
    <row r="10" spans="1:20" x14ac:dyDescent="0.3">
      <c r="A10" s="43" t="s">
        <v>365</v>
      </c>
      <c r="B10" s="54">
        <f>256+(2000/162.5)</f>
        <v>268.30769230769232</v>
      </c>
      <c r="C10" s="45">
        <v>7.5</v>
      </c>
      <c r="D10" s="49"/>
      <c r="E10" s="49">
        <v>1</v>
      </c>
      <c r="F10" s="49"/>
      <c r="G10" s="21">
        <f t="shared" si="1"/>
        <v>165</v>
      </c>
      <c r="H10" s="21">
        <f t="shared" si="1"/>
        <v>150</v>
      </c>
      <c r="I10" s="21">
        <f t="shared" si="1"/>
        <v>165</v>
      </c>
      <c r="J10" s="21">
        <f t="shared" si="1"/>
        <v>127.5</v>
      </c>
      <c r="K10" s="21">
        <f t="shared" si="1"/>
        <v>142.5</v>
      </c>
      <c r="L10" s="21">
        <f t="shared" si="1"/>
        <v>142.5</v>
      </c>
      <c r="M10" s="21">
        <f t="shared" si="1"/>
        <v>75</v>
      </c>
      <c r="N10" s="21">
        <f t="shared" si="1"/>
        <v>120</v>
      </c>
      <c r="O10" s="21">
        <f t="shared" si="1"/>
        <v>165</v>
      </c>
      <c r="P10" s="21">
        <f t="shared" si="1"/>
        <v>165</v>
      </c>
      <c r="Q10" s="21">
        <f t="shared" si="1"/>
        <v>157.5</v>
      </c>
      <c r="R10" s="21">
        <f t="shared" si="1"/>
        <v>142.5</v>
      </c>
      <c r="S10" s="61">
        <f t="shared" si="2"/>
        <v>1717.5</v>
      </c>
    </row>
    <row r="11" spans="1:20" x14ac:dyDescent="0.3">
      <c r="A11" s="43" t="s">
        <v>362</v>
      </c>
      <c r="B11" s="54">
        <f>261+(3500/162.5)</f>
        <v>282.53846153846155</v>
      </c>
      <c r="C11" s="45">
        <v>7.5</v>
      </c>
      <c r="D11" s="49"/>
      <c r="E11" s="49">
        <v>1</v>
      </c>
      <c r="F11" s="49"/>
      <c r="G11" s="21">
        <f t="shared" si="1"/>
        <v>165</v>
      </c>
      <c r="H11" s="21">
        <f t="shared" si="1"/>
        <v>150</v>
      </c>
      <c r="I11" s="21">
        <f t="shared" si="1"/>
        <v>165</v>
      </c>
      <c r="J11" s="21">
        <f t="shared" si="1"/>
        <v>127.5</v>
      </c>
      <c r="K11" s="21">
        <f t="shared" si="1"/>
        <v>142.5</v>
      </c>
      <c r="L11" s="21">
        <f t="shared" si="1"/>
        <v>142.5</v>
      </c>
      <c r="M11" s="21">
        <f t="shared" si="1"/>
        <v>75</v>
      </c>
      <c r="N11" s="21">
        <f t="shared" si="1"/>
        <v>120</v>
      </c>
      <c r="O11" s="21">
        <f t="shared" si="1"/>
        <v>165</v>
      </c>
      <c r="P11" s="21">
        <f t="shared" si="1"/>
        <v>165</v>
      </c>
      <c r="Q11" s="21">
        <f t="shared" si="1"/>
        <v>157.5</v>
      </c>
      <c r="R11" s="21">
        <f t="shared" si="1"/>
        <v>142.5</v>
      </c>
      <c r="S11" s="61">
        <f t="shared" si="2"/>
        <v>1717.5</v>
      </c>
    </row>
    <row r="12" spans="1:20" x14ac:dyDescent="0.3">
      <c r="A12" s="43" t="s">
        <v>123</v>
      </c>
      <c r="B12" s="54">
        <f>256+3500/162.5</f>
        <v>277.53846153846155</v>
      </c>
      <c r="C12" s="45">
        <v>7.5</v>
      </c>
      <c r="D12" s="49"/>
      <c r="E12" s="49">
        <v>1</v>
      </c>
      <c r="F12" s="49"/>
      <c r="G12" s="21">
        <f t="shared" si="1"/>
        <v>165</v>
      </c>
      <c r="H12" s="21">
        <f t="shared" si="1"/>
        <v>150</v>
      </c>
      <c r="I12" s="21">
        <f t="shared" si="1"/>
        <v>165</v>
      </c>
      <c r="J12" s="21">
        <f t="shared" si="1"/>
        <v>127.5</v>
      </c>
      <c r="K12" s="21">
        <f t="shared" si="1"/>
        <v>142.5</v>
      </c>
      <c r="L12" s="21">
        <f t="shared" si="1"/>
        <v>142.5</v>
      </c>
      <c r="M12" s="21">
        <f t="shared" si="1"/>
        <v>75</v>
      </c>
      <c r="N12" s="21">
        <f t="shared" si="1"/>
        <v>120</v>
      </c>
      <c r="O12" s="21">
        <f t="shared" si="1"/>
        <v>165</v>
      </c>
      <c r="P12" s="21">
        <f t="shared" si="1"/>
        <v>165</v>
      </c>
      <c r="Q12" s="21">
        <f t="shared" si="1"/>
        <v>157.5</v>
      </c>
      <c r="R12" s="21">
        <f t="shared" si="1"/>
        <v>142.5</v>
      </c>
      <c r="S12" s="61">
        <f t="shared" si="2"/>
        <v>1717.5</v>
      </c>
    </row>
    <row r="13" spans="1:20" x14ac:dyDescent="0.3">
      <c r="A13" s="43" t="s">
        <v>354</v>
      </c>
      <c r="B13" s="54">
        <f>261+15</f>
        <v>276</v>
      </c>
      <c r="C13" s="45">
        <v>7.5</v>
      </c>
      <c r="D13" s="49"/>
      <c r="E13" s="49">
        <v>1</v>
      </c>
      <c r="F13" s="49"/>
      <c r="G13" s="21"/>
      <c r="H13" s="21"/>
      <c r="I13" s="21">
        <f t="shared" si="1"/>
        <v>165</v>
      </c>
      <c r="J13" s="21">
        <f t="shared" si="1"/>
        <v>127.5</v>
      </c>
      <c r="K13" s="21">
        <f t="shared" si="1"/>
        <v>142.5</v>
      </c>
      <c r="L13" s="21">
        <f t="shared" si="1"/>
        <v>142.5</v>
      </c>
      <c r="M13" s="21">
        <f t="shared" si="1"/>
        <v>75</v>
      </c>
      <c r="N13" s="21">
        <f t="shared" si="1"/>
        <v>120</v>
      </c>
      <c r="O13" s="21">
        <f t="shared" si="1"/>
        <v>165</v>
      </c>
      <c r="P13" s="21">
        <f t="shared" si="1"/>
        <v>165</v>
      </c>
      <c r="Q13" s="21">
        <f t="shared" si="1"/>
        <v>157.5</v>
      </c>
      <c r="R13" s="21">
        <f t="shared" si="1"/>
        <v>142.5</v>
      </c>
      <c r="S13" s="61">
        <f t="shared" si="2"/>
        <v>1402.5</v>
      </c>
    </row>
    <row r="14" spans="1:20" x14ac:dyDescent="0.3">
      <c r="A14" s="43" t="s">
        <v>358</v>
      </c>
      <c r="B14" s="54">
        <v>233</v>
      </c>
      <c r="C14" s="45">
        <v>7.5</v>
      </c>
      <c r="D14" s="49"/>
      <c r="E14" s="49">
        <v>1</v>
      </c>
      <c r="F14" s="49"/>
      <c r="G14" s="21">
        <f t="shared" si="1"/>
        <v>165</v>
      </c>
      <c r="H14" s="21">
        <f t="shared" si="1"/>
        <v>150</v>
      </c>
      <c r="I14" s="21">
        <f t="shared" si="1"/>
        <v>165</v>
      </c>
      <c r="J14" s="21">
        <f t="shared" si="1"/>
        <v>127.5</v>
      </c>
      <c r="K14" s="21">
        <f t="shared" si="1"/>
        <v>142.5</v>
      </c>
      <c r="L14" s="21">
        <f t="shared" si="1"/>
        <v>142.5</v>
      </c>
      <c r="M14" s="21">
        <f t="shared" si="1"/>
        <v>75</v>
      </c>
      <c r="N14" s="21">
        <f t="shared" si="1"/>
        <v>120</v>
      </c>
      <c r="O14" s="21">
        <f t="shared" si="1"/>
        <v>165</v>
      </c>
      <c r="P14" s="21">
        <f t="shared" si="1"/>
        <v>165</v>
      </c>
      <c r="Q14" s="21">
        <f t="shared" si="1"/>
        <v>157.5</v>
      </c>
      <c r="R14" s="21">
        <f t="shared" si="1"/>
        <v>142.5</v>
      </c>
      <c r="S14" s="61">
        <f t="shared" si="2"/>
        <v>1717.5</v>
      </c>
    </row>
    <row r="15" spans="1:20" x14ac:dyDescent="0.3">
      <c r="A15" s="43" t="s">
        <v>356</v>
      </c>
      <c r="B15" s="54">
        <v>257</v>
      </c>
      <c r="C15" s="45">
        <v>7.5</v>
      </c>
      <c r="D15" s="49"/>
      <c r="E15" s="49">
        <v>1</v>
      </c>
      <c r="F15" s="49"/>
      <c r="G15" s="21">
        <f t="shared" si="1"/>
        <v>165</v>
      </c>
      <c r="H15" s="21">
        <f t="shared" si="1"/>
        <v>150</v>
      </c>
      <c r="I15" s="21">
        <f t="shared" si="1"/>
        <v>165</v>
      </c>
      <c r="J15" s="21">
        <f t="shared" si="1"/>
        <v>127.5</v>
      </c>
      <c r="K15" s="21">
        <f t="shared" si="1"/>
        <v>142.5</v>
      </c>
      <c r="L15" s="21">
        <f t="shared" si="1"/>
        <v>142.5</v>
      </c>
      <c r="M15" s="21">
        <f t="shared" si="1"/>
        <v>75</v>
      </c>
      <c r="N15" s="21">
        <f t="shared" si="1"/>
        <v>120</v>
      </c>
      <c r="O15" s="21">
        <f t="shared" si="1"/>
        <v>165</v>
      </c>
      <c r="P15" s="21">
        <f t="shared" si="1"/>
        <v>165</v>
      </c>
      <c r="Q15" s="21">
        <f t="shared" si="1"/>
        <v>157.5</v>
      </c>
      <c r="R15" s="21">
        <f t="shared" si="1"/>
        <v>142.5</v>
      </c>
      <c r="S15" s="61">
        <f t="shared" si="2"/>
        <v>1717.5</v>
      </c>
    </row>
    <row r="16" spans="1:20" x14ac:dyDescent="0.3">
      <c r="A16" s="43" t="s">
        <v>355</v>
      </c>
      <c r="B16" s="54">
        <v>233</v>
      </c>
      <c r="C16" s="45">
        <v>7.5</v>
      </c>
      <c r="D16" s="49"/>
      <c r="E16" s="49">
        <v>1</v>
      </c>
      <c r="F16" s="49"/>
      <c r="G16" s="21">
        <f t="shared" si="1"/>
        <v>165</v>
      </c>
      <c r="H16" s="21">
        <f t="shared" si="1"/>
        <v>150</v>
      </c>
      <c r="I16" s="21">
        <f t="shared" si="1"/>
        <v>165</v>
      </c>
      <c r="J16" s="21">
        <f t="shared" si="1"/>
        <v>127.5</v>
      </c>
      <c r="K16" s="21">
        <f t="shared" si="1"/>
        <v>142.5</v>
      </c>
      <c r="L16" s="21">
        <f t="shared" si="1"/>
        <v>142.5</v>
      </c>
      <c r="M16" s="21">
        <f t="shared" si="1"/>
        <v>75</v>
      </c>
      <c r="N16" s="21">
        <f t="shared" si="1"/>
        <v>120</v>
      </c>
      <c r="O16" s="21">
        <f t="shared" si="1"/>
        <v>165</v>
      </c>
      <c r="P16" s="21">
        <f t="shared" si="1"/>
        <v>165</v>
      </c>
      <c r="Q16" s="21">
        <f t="shared" si="1"/>
        <v>157.5</v>
      </c>
      <c r="R16" s="21">
        <f t="shared" si="1"/>
        <v>142.5</v>
      </c>
      <c r="S16" s="61">
        <f t="shared" si="2"/>
        <v>1717.5</v>
      </c>
    </row>
    <row r="17" spans="1:19" x14ac:dyDescent="0.3">
      <c r="A17" s="43" t="s">
        <v>333</v>
      </c>
      <c r="B17" s="54">
        <v>250</v>
      </c>
      <c r="C17" s="45">
        <v>7.5</v>
      </c>
      <c r="D17" s="49"/>
      <c r="E17" s="49">
        <v>1</v>
      </c>
      <c r="F17" s="49"/>
      <c r="G17" s="21">
        <f t="shared" si="1"/>
        <v>165</v>
      </c>
      <c r="H17" s="21">
        <f t="shared" si="1"/>
        <v>150</v>
      </c>
      <c r="I17" s="21">
        <f t="shared" si="1"/>
        <v>165</v>
      </c>
      <c r="J17" s="21">
        <f t="shared" si="1"/>
        <v>127.5</v>
      </c>
      <c r="K17" s="21">
        <f t="shared" si="1"/>
        <v>142.5</v>
      </c>
      <c r="L17" s="21">
        <f t="shared" si="1"/>
        <v>142.5</v>
      </c>
      <c r="M17" s="21">
        <f t="shared" si="1"/>
        <v>75</v>
      </c>
      <c r="N17" s="21">
        <f t="shared" si="1"/>
        <v>120</v>
      </c>
      <c r="O17" s="21">
        <f t="shared" si="1"/>
        <v>165</v>
      </c>
      <c r="P17" s="21">
        <f t="shared" si="1"/>
        <v>165</v>
      </c>
      <c r="Q17" s="21">
        <f t="shared" si="1"/>
        <v>157.5</v>
      </c>
      <c r="R17" s="21">
        <f t="shared" si="1"/>
        <v>142.5</v>
      </c>
      <c r="S17" s="61">
        <f t="shared" si="2"/>
        <v>1717.5</v>
      </c>
    </row>
    <row r="18" spans="1:19" x14ac:dyDescent="0.3">
      <c r="A18" s="43" t="s">
        <v>137</v>
      </c>
      <c r="B18" s="54">
        <v>256</v>
      </c>
      <c r="C18" s="45">
        <v>7.5</v>
      </c>
      <c r="D18" s="49"/>
      <c r="E18" s="49">
        <v>1</v>
      </c>
      <c r="F18" s="49"/>
      <c r="G18" s="21">
        <v>60</v>
      </c>
      <c r="H18" s="21">
        <f t="shared" si="1"/>
        <v>150</v>
      </c>
      <c r="I18" s="21">
        <f t="shared" si="1"/>
        <v>165</v>
      </c>
      <c r="J18" s="21">
        <f t="shared" si="1"/>
        <v>127.5</v>
      </c>
      <c r="K18" s="21">
        <f t="shared" si="1"/>
        <v>142.5</v>
      </c>
      <c r="L18" s="21">
        <f>(L$3-L$4)*$C18+15</f>
        <v>157.5</v>
      </c>
      <c r="M18" s="21">
        <f>(M$3-M$4)*$C18+75</f>
        <v>150</v>
      </c>
      <c r="N18" s="21">
        <f t="shared" si="1"/>
        <v>120</v>
      </c>
      <c r="O18" s="21">
        <f t="shared" si="1"/>
        <v>165</v>
      </c>
      <c r="P18" s="21">
        <f t="shared" si="1"/>
        <v>165</v>
      </c>
      <c r="Q18" s="21">
        <f t="shared" si="1"/>
        <v>157.5</v>
      </c>
      <c r="R18" s="21">
        <f t="shared" si="1"/>
        <v>142.5</v>
      </c>
      <c r="S18" s="61">
        <f t="shared" si="2"/>
        <v>1702.5</v>
      </c>
    </row>
    <row r="19" spans="1:19" x14ac:dyDescent="0.3">
      <c r="A19" s="43" t="s">
        <v>332</v>
      </c>
      <c r="B19" s="54">
        <v>220</v>
      </c>
      <c r="C19" s="45">
        <v>7.5</v>
      </c>
      <c r="D19" s="49"/>
      <c r="E19" s="49">
        <v>1</v>
      </c>
      <c r="F19" s="49"/>
      <c r="G19" s="21">
        <f t="shared" si="1"/>
        <v>165</v>
      </c>
      <c r="H19" s="21">
        <f t="shared" si="1"/>
        <v>150</v>
      </c>
      <c r="I19" s="21">
        <f t="shared" si="1"/>
        <v>165</v>
      </c>
      <c r="J19" s="21">
        <f t="shared" si="1"/>
        <v>127.5</v>
      </c>
      <c r="K19" s="21">
        <f t="shared" si="1"/>
        <v>142.5</v>
      </c>
      <c r="L19" s="21">
        <f t="shared" si="1"/>
        <v>142.5</v>
      </c>
      <c r="M19" s="21">
        <f t="shared" si="1"/>
        <v>75</v>
      </c>
      <c r="N19" s="21">
        <f t="shared" si="1"/>
        <v>120</v>
      </c>
      <c r="O19" s="21">
        <f t="shared" si="1"/>
        <v>165</v>
      </c>
      <c r="P19" s="21">
        <f t="shared" si="1"/>
        <v>165</v>
      </c>
      <c r="Q19" s="21">
        <f t="shared" si="1"/>
        <v>157.5</v>
      </c>
      <c r="R19" s="21">
        <f t="shared" si="1"/>
        <v>142.5</v>
      </c>
      <c r="S19" s="61">
        <f t="shared" si="2"/>
        <v>1717.5</v>
      </c>
    </row>
    <row r="20" spans="1:19" x14ac:dyDescent="0.3">
      <c r="A20" s="43" t="s">
        <v>181</v>
      </c>
      <c r="B20" s="54">
        <v>248</v>
      </c>
      <c r="C20" s="45">
        <v>7.5</v>
      </c>
      <c r="D20" s="49"/>
      <c r="E20" s="49">
        <v>1</v>
      </c>
      <c r="F20" s="49"/>
      <c r="G20" s="21">
        <f t="shared" si="1"/>
        <v>165</v>
      </c>
      <c r="H20" s="21">
        <f t="shared" si="1"/>
        <v>150</v>
      </c>
      <c r="I20" s="21">
        <f t="shared" si="1"/>
        <v>165</v>
      </c>
      <c r="J20" s="21">
        <f t="shared" si="1"/>
        <v>127.5</v>
      </c>
      <c r="K20" s="21">
        <f t="shared" si="1"/>
        <v>142.5</v>
      </c>
      <c r="L20" s="21">
        <f t="shared" si="1"/>
        <v>142.5</v>
      </c>
      <c r="M20" s="21">
        <f t="shared" si="1"/>
        <v>75</v>
      </c>
      <c r="N20" s="21">
        <f t="shared" si="1"/>
        <v>120</v>
      </c>
      <c r="O20" s="21">
        <f t="shared" si="1"/>
        <v>165</v>
      </c>
      <c r="P20" s="21">
        <f t="shared" si="1"/>
        <v>165</v>
      </c>
      <c r="Q20" s="21">
        <f t="shared" si="1"/>
        <v>157.5</v>
      </c>
      <c r="R20" s="21">
        <f t="shared" si="1"/>
        <v>142.5</v>
      </c>
      <c r="S20" s="61">
        <f t="shared" si="2"/>
        <v>1717.5</v>
      </c>
    </row>
    <row r="21" spans="1:19" x14ac:dyDescent="0.3">
      <c r="A21" s="43" t="s">
        <v>182</v>
      </c>
      <c r="B21" s="54">
        <v>244</v>
      </c>
      <c r="C21" s="45">
        <v>7.5</v>
      </c>
      <c r="D21" s="49"/>
      <c r="E21" s="49">
        <v>1</v>
      </c>
      <c r="F21" s="49"/>
      <c r="G21" s="21">
        <f t="shared" si="1"/>
        <v>165</v>
      </c>
      <c r="H21" s="21">
        <f t="shared" si="1"/>
        <v>150</v>
      </c>
      <c r="I21" s="21">
        <f t="shared" si="1"/>
        <v>165</v>
      </c>
      <c r="J21" s="21">
        <f t="shared" si="1"/>
        <v>127.5</v>
      </c>
      <c r="K21" s="21">
        <f t="shared" si="1"/>
        <v>142.5</v>
      </c>
      <c r="L21" s="21">
        <f t="shared" si="1"/>
        <v>142.5</v>
      </c>
      <c r="M21" s="21">
        <f t="shared" si="1"/>
        <v>75</v>
      </c>
      <c r="N21" s="21">
        <f t="shared" si="1"/>
        <v>120</v>
      </c>
      <c r="O21" s="21">
        <f t="shared" si="1"/>
        <v>165</v>
      </c>
      <c r="P21" s="21">
        <f t="shared" si="1"/>
        <v>165</v>
      </c>
      <c r="Q21" s="21">
        <f t="shared" si="1"/>
        <v>157.5</v>
      </c>
      <c r="R21" s="21">
        <f t="shared" si="1"/>
        <v>142.5</v>
      </c>
      <c r="S21" s="61">
        <f t="shared" si="2"/>
        <v>1717.5</v>
      </c>
    </row>
    <row r="22" spans="1:19" x14ac:dyDescent="0.3">
      <c r="A22" s="43" t="s">
        <v>360</v>
      </c>
      <c r="B22" s="54">
        <v>253</v>
      </c>
      <c r="C22" s="45">
        <v>7.5</v>
      </c>
      <c r="D22" s="49"/>
      <c r="E22" s="49">
        <v>1</v>
      </c>
      <c r="F22" s="49"/>
      <c r="G22" s="21">
        <f t="shared" si="1"/>
        <v>165</v>
      </c>
      <c r="H22" s="21">
        <f t="shared" si="1"/>
        <v>150</v>
      </c>
      <c r="I22" s="21">
        <f t="shared" si="1"/>
        <v>165</v>
      </c>
      <c r="J22" s="21">
        <f t="shared" si="1"/>
        <v>127.5</v>
      </c>
      <c r="K22" s="21">
        <f t="shared" si="1"/>
        <v>142.5</v>
      </c>
      <c r="L22" s="21">
        <f t="shared" si="1"/>
        <v>142.5</v>
      </c>
      <c r="M22" s="21">
        <f t="shared" si="1"/>
        <v>75</v>
      </c>
      <c r="N22" s="21">
        <f t="shared" si="1"/>
        <v>120</v>
      </c>
      <c r="O22" s="21">
        <f t="shared" si="1"/>
        <v>165</v>
      </c>
      <c r="P22" s="21">
        <f t="shared" si="1"/>
        <v>165</v>
      </c>
      <c r="Q22" s="21">
        <f t="shared" si="1"/>
        <v>157.5</v>
      </c>
      <c r="R22" s="21">
        <f t="shared" si="1"/>
        <v>142.5</v>
      </c>
      <c r="S22" s="61">
        <f t="shared" si="2"/>
        <v>1717.5</v>
      </c>
    </row>
    <row r="23" spans="1:19" x14ac:dyDescent="0.3">
      <c r="A23" s="43" t="s">
        <v>183</v>
      </c>
      <c r="B23" s="54">
        <v>240</v>
      </c>
      <c r="C23" s="45">
        <v>7.5</v>
      </c>
      <c r="D23" s="49"/>
      <c r="E23" s="49">
        <v>1</v>
      </c>
      <c r="F23" s="49"/>
      <c r="G23" s="21">
        <f t="shared" ref="G23:R42" si="3">(G$3-G$4)*$C23</f>
        <v>165</v>
      </c>
      <c r="H23" s="21">
        <f t="shared" si="3"/>
        <v>150</v>
      </c>
      <c r="I23" s="21">
        <f t="shared" si="3"/>
        <v>165</v>
      </c>
      <c r="J23" s="21">
        <f t="shared" si="3"/>
        <v>127.5</v>
      </c>
      <c r="K23" s="21">
        <f t="shared" si="3"/>
        <v>142.5</v>
      </c>
      <c r="L23" s="21">
        <f t="shared" si="3"/>
        <v>142.5</v>
      </c>
      <c r="M23" s="21">
        <f t="shared" si="3"/>
        <v>75</v>
      </c>
      <c r="N23" s="21">
        <f t="shared" si="3"/>
        <v>120</v>
      </c>
      <c r="O23" s="21">
        <f t="shared" si="3"/>
        <v>165</v>
      </c>
      <c r="P23" s="21">
        <f t="shared" si="3"/>
        <v>165</v>
      </c>
      <c r="Q23" s="21">
        <f t="shared" si="3"/>
        <v>157.5</v>
      </c>
      <c r="R23" s="21">
        <f t="shared" si="3"/>
        <v>142.5</v>
      </c>
      <c r="S23" s="61">
        <f t="shared" si="2"/>
        <v>1717.5</v>
      </c>
    </row>
    <row r="24" spans="1:19" x14ac:dyDescent="0.3">
      <c r="A24" s="43" t="s">
        <v>363</v>
      </c>
      <c r="B24" s="54">
        <v>253</v>
      </c>
      <c r="C24" s="45">
        <v>7.5</v>
      </c>
      <c r="D24" s="49"/>
      <c r="E24" s="49">
        <v>1</v>
      </c>
      <c r="F24" s="49"/>
      <c r="G24" s="21">
        <f t="shared" si="3"/>
        <v>165</v>
      </c>
      <c r="H24" s="21">
        <f t="shared" si="3"/>
        <v>150</v>
      </c>
      <c r="I24" s="21">
        <f t="shared" si="3"/>
        <v>165</v>
      </c>
      <c r="J24" s="21">
        <f t="shared" si="3"/>
        <v>127.5</v>
      </c>
      <c r="K24" s="21">
        <f t="shared" si="3"/>
        <v>142.5</v>
      </c>
      <c r="L24" s="21">
        <f t="shared" si="3"/>
        <v>142.5</v>
      </c>
      <c r="M24" s="21">
        <f t="shared" si="3"/>
        <v>75</v>
      </c>
      <c r="N24" s="21">
        <f t="shared" si="3"/>
        <v>120</v>
      </c>
      <c r="O24" s="21">
        <f t="shared" si="3"/>
        <v>165</v>
      </c>
      <c r="P24" s="21">
        <f t="shared" si="3"/>
        <v>165</v>
      </c>
      <c r="Q24" s="21">
        <f t="shared" si="3"/>
        <v>157.5</v>
      </c>
      <c r="R24" s="21">
        <f t="shared" si="3"/>
        <v>142.5</v>
      </c>
      <c r="S24" s="61">
        <f t="shared" si="2"/>
        <v>1717.5</v>
      </c>
    </row>
    <row r="25" spans="1:19" x14ac:dyDescent="0.3">
      <c r="A25" s="43" t="s">
        <v>184</v>
      </c>
      <c r="B25" s="54">
        <v>233</v>
      </c>
      <c r="C25" s="45">
        <v>7.5</v>
      </c>
      <c r="D25" s="49"/>
      <c r="E25" s="49">
        <v>1</v>
      </c>
      <c r="F25" s="49"/>
      <c r="G25" s="21">
        <v>120</v>
      </c>
      <c r="H25" s="21">
        <f t="shared" si="3"/>
        <v>150</v>
      </c>
      <c r="I25" s="21">
        <f t="shared" si="3"/>
        <v>165</v>
      </c>
      <c r="J25" s="21">
        <f t="shared" si="3"/>
        <v>127.5</v>
      </c>
      <c r="K25" s="21">
        <f t="shared" si="3"/>
        <v>142.5</v>
      </c>
      <c r="L25" s="21">
        <f t="shared" si="3"/>
        <v>142.5</v>
      </c>
      <c r="M25" s="21">
        <f t="shared" si="3"/>
        <v>75</v>
      </c>
      <c r="N25" s="21">
        <f t="shared" si="3"/>
        <v>120</v>
      </c>
      <c r="O25" s="21">
        <f t="shared" si="3"/>
        <v>165</v>
      </c>
      <c r="P25" s="21">
        <f t="shared" si="3"/>
        <v>165</v>
      </c>
      <c r="Q25" s="21">
        <f t="shared" si="3"/>
        <v>157.5</v>
      </c>
      <c r="R25" s="21">
        <f t="shared" si="3"/>
        <v>142.5</v>
      </c>
      <c r="S25" s="61">
        <f t="shared" si="2"/>
        <v>1672.5</v>
      </c>
    </row>
    <row r="26" spans="1:19" x14ac:dyDescent="0.3">
      <c r="A26" s="43" t="s">
        <v>185</v>
      </c>
      <c r="B26" s="54">
        <v>239</v>
      </c>
      <c r="C26" s="45">
        <v>7.5</v>
      </c>
      <c r="D26" s="49"/>
      <c r="E26" s="49">
        <v>1</v>
      </c>
      <c r="F26" s="49"/>
      <c r="G26" s="21">
        <f t="shared" si="3"/>
        <v>165</v>
      </c>
      <c r="H26" s="21">
        <f t="shared" si="3"/>
        <v>150</v>
      </c>
      <c r="I26" s="21">
        <f t="shared" si="3"/>
        <v>165</v>
      </c>
      <c r="J26" s="21">
        <f t="shared" si="3"/>
        <v>127.5</v>
      </c>
      <c r="K26" s="21">
        <f t="shared" si="3"/>
        <v>142.5</v>
      </c>
      <c r="L26" s="21">
        <f t="shared" si="3"/>
        <v>142.5</v>
      </c>
      <c r="M26" s="21">
        <f t="shared" si="3"/>
        <v>75</v>
      </c>
      <c r="N26" s="21">
        <f t="shared" si="3"/>
        <v>120</v>
      </c>
      <c r="O26" s="21">
        <f t="shared" si="3"/>
        <v>165</v>
      </c>
      <c r="P26" s="21">
        <f t="shared" si="3"/>
        <v>165</v>
      </c>
      <c r="Q26" s="21">
        <f t="shared" si="3"/>
        <v>157.5</v>
      </c>
      <c r="R26" s="21">
        <f t="shared" si="3"/>
        <v>142.5</v>
      </c>
      <c r="S26" s="61">
        <f t="shared" si="2"/>
        <v>1717.5</v>
      </c>
    </row>
    <row r="27" spans="1:19" x14ac:dyDescent="0.3">
      <c r="A27" s="43" t="s">
        <v>331</v>
      </c>
      <c r="B27" s="54">
        <v>248</v>
      </c>
      <c r="C27" s="45">
        <v>7.5</v>
      </c>
      <c r="D27" s="49"/>
      <c r="E27" s="49">
        <v>1</v>
      </c>
      <c r="F27" s="49"/>
      <c r="G27" s="21">
        <f t="shared" si="3"/>
        <v>165</v>
      </c>
      <c r="H27" s="21">
        <f t="shared" si="3"/>
        <v>150</v>
      </c>
      <c r="I27" s="21">
        <f t="shared" si="3"/>
        <v>165</v>
      </c>
      <c r="J27" s="21">
        <f t="shared" si="3"/>
        <v>127.5</v>
      </c>
      <c r="K27" s="21">
        <f t="shared" si="3"/>
        <v>142.5</v>
      </c>
      <c r="L27" s="21">
        <f t="shared" si="3"/>
        <v>142.5</v>
      </c>
      <c r="M27" s="21">
        <f t="shared" si="3"/>
        <v>75</v>
      </c>
      <c r="N27" s="21">
        <f t="shared" si="3"/>
        <v>120</v>
      </c>
      <c r="O27" s="21">
        <f t="shared" si="3"/>
        <v>165</v>
      </c>
      <c r="P27" s="21">
        <f t="shared" si="3"/>
        <v>165</v>
      </c>
      <c r="Q27" s="21">
        <f t="shared" si="3"/>
        <v>157.5</v>
      </c>
      <c r="R27" s="21">
        <f t="shared" si="3"/>
        <v>142.5</v>
      </c>
      <c r="S27" s="61">
        <f t="shared" si="2"/>
        <v>1717.5</v>
      </c>
    </row>
    <row r="28" spans="1:19" x14ac:dyDescent="0.3">
      <c r="A28" s="43" t="s">
        <v>216</v>
      </c>
      <c r="B28" s="54">
        <v>257</v>
      </c>
      <c r="C28" s="45">
        <v>7.5</v>
      </c>
      <c r="D28" s="49"/>
      <c r="E28" s="49">
        <v>1</v>
      </c>
      <c r="F28" s="49"/>
      <c r="G28" s="21">
        <f t="shared" si="3"/>
        <v>165</v>
      </c>
      <c r="H28" s="21">
        <f t="shared" si="3"/>
        <v>150</v>
      </c>
      <c r="I28" s="21">
        <f t="shared" si="3"/>
        <v>165</v>
      </c>
      <c r="J28" s="21">
        <f t="shared" si="3"/>
        <v>127.5</v>
      </c>
      <c r="K28" s="21">
        <f t="shared" si="3"/>
        <v>142.5</v>
      </c>
      <c r="L28" s="21">
        <f t="shared" si="3"/>
        <v>142.5</v>
      </c>
      <c r="M28" s="21">
        <f t="shared" si="3"/>
        <v>75</v>
      </c>
      <c r="N28" s="21">
        <f t="shared" si="3"/>
        <v>120</v>
      </c>
      <c r="O28" s="21">
        <f t="shared" si="3"/>
        <v>165</v>
      </c>
      <c r="P28" s="21">
        <f t="shared" si="3"/>
        <v>165</v>
      </c>
      <c r="Q28" s="21">
        <f t="shared" si="3"/>
        <v>157.5</v>
      </c>
      <c r="R28" s="21">
        <f t="shared" si="3"/>
        <v>142.5</v>
      </c>
      <c r="S28" s="61">
        <f t="shared" si="2"/>
        <v>1717.5</v>
      </c>
    </row>
    <row r="29" spans="1:19" x14ac:dyDescent="0.3">
      <c r="A29" s="43" t="s">
        <v>364</v>
      </c>
      <c r="B29" s="54">
        <v>248</v>
      </c>
      <c r="C29" s="45">
        <v>7.5</v>
      </c>
      <c r="D29" s="49"/>
      <c r="E29" s="49">
        <v>1</v>
      </c>
      <c r="F29" s="49"/>
      <c r="G29" s="21">
        <v>145</v>
      </c>
      <c r="H29" s="21">
        <f t="shared" si="3"/>
        <v>150</v>
      </c>
      <c r="I29" s="21">
        <f t="shared" si="3"/>
        <v>165</v>
      </c>
      <c r="J29" s="21">
        <f t="shared" si="3"/>
        <v>127.5</v>
      </c>
      <c r="K29" s="21">
        <f t="shared" si="3"/>
        <v>142.5</v>
      </c>
      <c r="L29" s="21">
        <f t="shared" si="3"/>
        <v>142.5</v>
      </c>
      <c r="M29" s="21">
        <f t="shared" si="3"/>
        <v>75</v>
      </c>
      <c r="N29" s="21">
        <f t="shared" si="3"/>
        <v>120</v>
      </c>
      <c r="O29" s="21">
        <f t="shared" si="3"/>
        <v>165</v>
      </c>
      <c r="P29" s="21">
        <f t="shared" si="3"/>
        <v>165</v>
      </c>
      <c r="Q29" s="21"/>
      <c r="R29" s="21"/>
      <c r="S29" s="61">
        <f t="shared" si="2"/>
        <v>1397.5</v>
      </c>
    </row>
    <row r="30" spans="1:19" x14ac:dyDescent="0.3">
      <c r="A30" s="43" t="s">
        <v>366</v>
      </c>
      <c r="B30" s="54">
        <v>257</v>
      </c>
      <c r="C30" s="45">
        <v>7.5</v>
      </c>
      <c r="D30" s="49"/>
      <c r="E30" s="49">
        <v>1</v>
      </c>
      <c r="F30" s="49"/>
      <c r="G30" s="21"/>
      <c r="H30" s="21"/>
      <c r="I30" s="21">
        <f>(I$3-I$4)*$C30-37.5</f>
        <v>127.5</v>
      </c>
      <c r="J30" s="21">
        <f t="shared" si="3"/>
        <v>127.5</v>
      </c>
      <c r="K30" s="21">
        <f t="shared" si="3"/>
        <v>142.5</v>
      </c>
      <c r="L30" s="21">
        <f t="shared" si="3"/>
        <v>142.5</v>
      </c>
      <c r="M30" s="21">
        <f t="shared" si="3"/>
        <v>75</v>
      </c>
      <c r="N30" s="21">
        <f t="shared" si="3"/>
        <v>120</v>
      </c>
      <c r="O30" s="21">
        <f t="shared" si="3"/>
        <v>165</v>
      </c>
      <c r="P30" s="21">
        <f t="shared" si="3"/>
        <v>165</v>
      </c>
      <c r="Q30" s="21">
        <f t="shared" si="3"/>
        <v>157.5</v>
      </c>
      <c r="R30" s="21">
        <f t="shared" si="3"/>
        <v>142.5</v>
      </c>
      <c r="S30" s="61">
        <f t="shared" si="2"/>
        <v>1365</v>
      </c>
    </row>
    <row r="31" spans="1:19" x14ac:dyDescent="0.3">
      <c r="A31" s="43" t="s">
        <v>217</v>
      </c>
      <c r="B31" s="54">
        <v>220</v>
      </c>
      <c r="C31" s="45">
        <v>7.5</v>
      </c>
      <c r="D31" s="49"/>
      <c r="E31" s="49">
        <v>1</v>
      </c>
      <c r="F31" s="49"/>
      <c r="G31" s="21">
        <f t="shared" si="3"/>
        <v>165</v>
      </c>
      <c r="H31" s="21">
        <f t="shared" si="3"/>
        <v>150</v>
      </c>
      <c r="I31" s="21">
        <f t="shared" si="3"/>
        <v>165</v>
      </c>
      <c r="J31" s="21">
        <f t="shared" si="3"/>
        <v>127.5</v>
      </c>
      <c r="K31" s="21">
        <f t="shared" si="3"/>
        <v>142.5</v>
      </c>
      <c r="L31" s="21">
        <f t="shared" si="3"/>
        <v>142.5</v>
      </c>
      <c r="M31" s="21">
        <f t="shared" si="3"/>
        <v>75</v>
      </c>
      <c r="N31" s="21">
        <f t="shared" si="3"/>
        <v>120</v>
      </c>
      <c r="O31" s="21">
        <f t="shared" si="3"/>
        <v>165</v>
      </c>
      <c r="P31" s="21">
        <f t="shared" si="3"/>
        <v>165</v>
      </c>
      <c r="Q31" s="21">
        <f t="shared" si="3"/>
        <v>157.5</v>
      </c>
      <c r="R31" s="21">
        <f t="shared" si="3"/>
        <v>142.5</v>
      </c>
      <c r="S31" s="61">
        <f t="shared" si="2"/>
        <v>1717.5</v>
      </c>
    </row>
    <row r="32" spans="1:19" x14ac:dyDescent="0.3">
      <c r="A32" s="43" t="s">
        <v>351</v>
      </c>
      <c r="B32" s="54">
        <v>238</v>
      </c>
      <c r="C32" s="45">
        <v>7.5</v>
      </c>
      <c r="D32" s="49"/>
      <c r="E32" s="49">
        <v>1</v>
      </c>
      <c r="F32" s="49"/>
      <c r="G32" s="21">
        <f t="shared" si="3"/>
        <v>165</v>
      </c>
      <c r="H32" s="21">
        <f t="shared" si="3"/>
        <v>150</v>
      </c>
      <c r="I32" s="21">
        <f t="shared" si="3"/>
        <v>165</v>
      </c>
      <c r="J32" s="21">
        <f t="shared" si="3"/>
        <v>127.5</v>
      </c>
      <c r="K32" s="21">
        <f t="shared" si="3"/>
        <v>142.5</v>
      </c>
      <c r="L32" s="21">
        <f t="shared" si="3"/>
        <v>142.5</v>
      </c>
      <c r="M32" s="21">
        <f t="shared" si="3"/>
        <v>75</v>
      </c>
      <c r="N32" s="21">
        <f t="shared" si="3"/>
        <v>120</v>
      </c>
      <c r="O32" s="21">
        <f t="shared" si="3"/>
        <v>165</v>
      </c>
      <c r="P32" s="21">
        <f t="shared" si="3"/>
        <v>165</v>
      </c>
      <c r="Q32" s="21">
        <f t="shared" si="3"/>
        <v>157.5</v>
      </c>
      <c r="R32" s="21">
        <f t="shared" si="3"/>
        <v>142.5</v>
      </c>
      <c r="S32" s="61">
        <f t="shared" si="2"/>
        <v>1717.5</v>
      </c>
    </row>
    <row r="33" spans="1:19" x14ac:dyDescent="0.3">
      <c r="A33" s="43" t="s">
        <v>353</v>
      </c>
      <c r="B33" s="54">
        <f>250+1500/162.5</f>
        <v>259.23076923076923</v>
      </c>
      <c r="C33" s="45">
        <v>7.5</v>
      </c>
      <c r="D33" s="49"/>
      <c r="E33" s="49">
        <v>1</v>
      </c>
      <c r="F33" s="49"/>
      <c r="G33" s="21">
        <f t="shared" si="3"/>
        <v>165</v>
      </c>
      <c r="H33" s="21">
        <f t="shared" si="3"/>
        <v>150</v>
      </c>
      <c r="I33" s="21">
        <f t="shared" si="3"/>
        <v>165</v>
      </c>
      <c r="J33" s="21">
        <f t="shared" si="3"/>
        <v>127.5</v>
      </c>
      <c r="K33" s="21">
        <f t="shared" si="3"/>
        <v>142.5</v>
      </c>
      <c r="L33" s="21">
        <f t="shared" si="3"/>
        <v>142.5</v>
      </c>
      <c r="M33" s="21">
        <f t="shared" si="3"/>
        <v>75</v>
      </c>
      <c r="N33" s="21">
        <f t="shared" si="3"/>
        <v>120</v>
      </c>
      <c r="O33" s="21">
        <f t="shared" si="3"/>
        <v>165</v>
      </c>
      <c r="P33" s="21">
        <f t="shared" si="3"/>
        <v>165</v>
      </c>
      <c r="Q33" s="21">
        <f t="shared" si="3"/>
        <v>157.5</v>
      </c>
      <c r="R33" s="21">
        <f t="shared" si="3"/>
        <v>142.5</v>
      </c>
      <c r="S33" s="61">
        <f t="shared" si="2"/>
        <v>1717.5</v>
      </c>
    </row>
    <row r="34" spans="1:19" x14ac:dyDescent="0.3">
      <c r="A34" s="43" t="s">
        <v>367</v>
      </c>
      <c r="B34" s="54">
        <v>0</v>
      </c>
      <c r="C34" s="45">
        <v>9</v>
      </c>
      <c r="D34" s="49"/>
      <c r="E34" s="49">
        <v>1</v>
      </c>
      <c r="F34" s="49"/>
      <c r="G34" s="21">
        <f t="shared" si="3"/>
        <v>198</v>
      </c>
      <c r="H34" s="21">
        <f t="shared" si="3"/>
        <v>180</v>
      </c>
      <c r="I34" s="21">
        <f t="shared" si="3"/>
        <v>198</v>
      </c>
      <c r="J34" s="21">
        <f t="shared" si="3"/>
        <v>153</v>
      </c>
      <c r="K34" s="21"/>
      <c r="L34" s="21"/>
      <c r="M34" s="21"/>
      <c r="N34" s="21"/>
      <c r="O34" s="21"/>
      <c r="P34" s="21"/>
      <c r="Q34" s="21"/>
      <c r="R34" s="21"/>
      <c r="S34" s="61">
        <f t="shared" si="2"/>
        <v>729</v>
      </c>
    </row>
    <row r="35" spans="1:19" x14ac:dyDescent="0.3">
      <c r="A35" s="43" t="s">
        <v>368</v>
      </c>
      <c r="B35" s="54">
        <v>130</v>
      </c>
      <c r="C35" s="45">
        <v>15</v>
      </c>
      <c r="D35" s="49"/>
      <c r="E35" s="49">
        <v>1</v>
      </c>
      <c r="F35" s="49"/>
      <c r="G35" s="21"/>
      <c r="H35" s="21"/>
      <c r="I35" s="21"/>
      <c r="J35" s="21"/>
      <c r="K35" s="21">
        <f t="shared" si="3"/>
        <v>285</v>
      </c>
      <c r="L35" s="21">
        <f t="shared" si="3"/>
        <v>285</v>
      </c>
      <c r="M35" s="21">
        <f t="shared" si="3"/>
        <v>150</v>
      </c>
      <c r="N35" s="21">
        <f t="shared" si="3"/>
        <v>240</v>
      </c>
      <c r="O35" s="21">
        <f t="shared" si="3"/>
        <v>330</v>
      </c>
      <c r="P35" s="21">
        <f t="shared" si="3"/>
        <v>330</v>
      </c>
      <c r="Q35" s="21"/>
      <c r="R35" s="21"/>
      <c r="S35" s="61">
        <f>SUM(G35:R35)</f>
        <v>1620</v>
      </c>
    </row>
    <row r="36" spans="1:19" x14ac:dyDescent="0.3">
      <c r="A36" s="43" t="s">
        <v>357</v>
      </c>
      <c r="B36" s="54">
        <v>230</v>
      </c>
      <c r="C36" s="45">
        <v>7.5</v>
      </c>
      <c r="D36" s="49"/>
      <c r="E36" s="49">
        <v>1</v>
      </c>
      <c r="F36" s="49"/>
      <c r="G36" s="21">
        <f t="shared" si="3"/>
        <v>165</v>
      </c>
      <c r="H36" s="21">
        <f t="shared" si="3"/>
        <v>150</v>
      </c>
      <c r="I36" s="21">
        <f t="shared" si="3"/>
        <v>165</v>
      </c>
      <c r="J36" s="21">
        <f t="shared" si="3"/>
        <v>127.5</v>
      </c>
      <c r="K36" s="21">
        <f t="shared" si="3"/>
        <v>142.5</v>
      </c>
      <c r="L36" s="21">
        <f t="shared" si="3"/>
        <v>142.5</v>
      </c>
      <c r="M36" s="21">
        <f t="shared" si="3"/>
        <v>75</v>
      </c>
      <c r="N36" s="21">
        <f t="shared" si="3"/>
        <v>120</v>
      </c>
      <c r="O36" s="21">
        <f t="shared" si="3"/>
        <v>165</v>
      </c>
      <c r="P36" s="21">
        <f t="shared" si="3"/>
        <v>165</v>
      </c>
      <c r="Q36" s="21">
        <f t="shared" si="3"/>
        <v>157.5</v>
      </c>
      <c r="R36" s="21">
        <f t="shared" si="3"/>
        <v>142.5</v>
      </c>
      <c r="S36" s="61">
        <f t="shared" si="2"/>
        <v>1717.5</v>
      </c>
    </row>
    <row r="37" spans="1:19" x14ac:dyDescent="0.3">
      <c r="A37" s="43" t="s">
        <v>359</v>
      </c>
      <c r="B37" s="54">
        <v>210</v>
      </c>
      <c r="C37" s="45">
        <v>7.5</v>
      </c>
      <c r="D37" s="49"/>
      <c r="E37" s="49">
        <v>1</v>
      </c>
      <c r="F37" s="49"/>
      <c r="G37" s="21">
        <f t="shared" si="3"/>
        <v>165</v>
      </c>
      <c r="H37" s="21">
        <f t="shared" si="3"/>
        <v>150</v>
      </c>
      <c r="I37" s="21">
        <f t="shared" si="3"/>
        <v>165</v>
      </c>
      <c r="J37" s="21">
        <f t="shared" si="3"/>
        <v>127.5</v>
      </c>
      <c r="K37" s="21">
        <f t="shared" si="3"/>
        <v>142.5</v>
      </c>
      <c r="L37" s="21">
        <f t="shared" si="3"/>
        <v>142.5</v>
      </c>
      <c r="M37" s="21">
        <f t="shared" si="3"/>
        <v>75</v>
      </c>
      <c r="N37" s="21">
        <f t="shared" si="3"/>
        <v>120</v>
      </c>
      <c r="O37" s="21">
        <f t="shared" si="3"/>
        <v>165</v>
      </c>
      <c r="P37" s="21">
        <f t="shared" si="3"/>
        <v>165</v>
      </c>
      <c r="Q37" s="21"/>
      <c r="R37" s="21"/>
      <c r="S37" s="61">
        <f t="shared" si="2"/>
        <v>1417.5</v>
      </c>
    </row>
    <row r="38" spans="1:19" x14ac:dyDescent="0.3">
      <c r="A38" s="43" t="s">
        <v>361</v>
      </c>
      <c r="B38" s="54">
        <v>130</v>
      </c>
      <c r="C38" s="45">
        <v>7.5</v>
      </c>
      <c r="D38" s="49"/>
      <c r="E38" s="49">
        <v>1</v>
      </c>
      <c r="F38" s="49"/>
      <c r="G38" s="21">
        <v>50</v>
      </c>
      <c r="H38" s="21">
        <f t="shared" si="3"/>
        <v>150</v>
      </c>
      <c r="I38" s="21">
        <f t="shared" si="3"/>
        <v>165</v>
      </c>
      <c r="J38" s="21">
        <f t="shared" si="3"/>
        <v>127.5</v>
      </c>
      <c r="K38" s="21">
        <f t="shared" si="3"/>
        <v>142.5</v>
      </c>
      <c r="L38" s="21">
        <f t="shared" si="3"/>
        <v>142.5</v>
      </c>
      <c r="M38" s="21">
        <f t="shared" si="3"/>
        <v>75</v>
      </c>
      <c r="N38" s="21">
        <f t="shared" si="3"/>
        <v>120</v>
      </c>
      <c r="O38" s="21">
        <f t="shared" si="3"/>
        <v>165</v>
      </c>
      <c r="P38" s="21">
        <f t="shared" si="3"/>
        <v>165</v>
      </c>
      <c r="Q38" s="21"/>
      <c r="R38" s="21"/>
      <c r="S38" s="61">
        <f t="shared" si="2"/>
        <v>1302.5</v>
      </c>
    </row>
    <row r="39" spans="1:19" x14ac:dyDescent="0.3">
      <c r="A39" s="43" t="s">
        <v>378</v>
      </c>
      <c r="B39" s="45">
        <v>190</v>
      </c>
      <c r="C39" s="45">
        <v>7.5</v>
      </c>
      <c r="D39" s="49"/>
      <c r="E39" s="49">
        <v>1</v>
      </c>
      <c r="F39" s="49"/>
      <c r="G39" s="21"/>
      <c r="H39" s="21"/>
      <c r="I39" s="21"/>
      <c r="J39" s="21"/>
      <c r="K39" s="21">
        <f t="shared" si="3"/>
        <v>142.5</v>
      </c>
      <c r="L39" s="21">
        <f t="shared" si="3"/>
        <v>142.5</v>
      </c>
      <c r="M39" s="21">
        <f t="shared" si="3"/>
        <v>75</v>
      </c>
      <c r="N39" s="21">
        <f t="shared" si="3"/>
        <v>120</v>
      </c>
      <c r="O39" s="21">
        <f t="shared" si="3"/>
        <v>165</v>
      </c>
      <c r="P39" s="21"/>
      <c r="Q39" s="21"/>
      <c r="R39" s="21"/>
      <c r="S39" s="61">
        <f t="shared" si="2"/>
        <v>645</v>
      </c>
    </row>
    <row r="40" spans="1:19" x14ac:dyDescent="0.3">
      <c r="A40" s="43" t="s">
        <v>378</v>
      </c>
      <c r="B40" s="45">
        <v>190</v>
      </c>
      <c r="C40" s="45">
        <v>7.5</v>
      </c>
      <c r="D40" s="49"/>
      <c r="E40" s="49">
        <v>1</v>
      </c>
      <c r="F40" s="49"/>
      <c r="G40" s="21"/>
      <c r="H40" s="21"/>
      <c r="I40" s="21"/>
      <c r="J40" s="21"/>
      <c r="K40" s="21">
        <f t="shared" si="3"/>
        <v>142.5</v>
      </c>
      <c r="L40" s="21">
        <f t="shared" si="3"/>
        <v>142.5</v>
      </c>
      <c r="M40" s="21">
        <f t="shared" si="3"/>
        <v>75</v>
      </c>
      <c r="N40" s="21">
        <f t="shared" si="3"/>
        <v>120</v>
      </c>
      <c r="O40" s="21">
        <f t="shared" si="3"/>
        <v>165</v>
      </c>
      <c r="P40" s="21"/>
      <c r="Q40" s="21"/>
      <c r="R40" s="21"/>
      <c r="S40" s="61">
        <f t="shared" si="2"/>
        <v>645</v>
      </c>
    </row>
    <row r="41" spans="1:19" x14ac:dyDescent="0.3">
      <c r="A41" s="43" t="s">
        <v>352</v>
      </c>
      <c r="B41" s="54">
        <v>204</v>
      </c>
      <c r="C41" s="45">
        <v>7.5</v>
      </c>
      <c r="D41" s="49"/>
      <c r="E41" s="49">
        <v>1</v>
      </c>
      <c r="F41" s="49"/>
      <c r="G41" s="21">
        <f>(G$3-G$4)*$C41-58.5</f>
        <v>106.5</v>
      </c>
      <c r="H41" s="21">
        <f>(H$3-H$4)*$C41*0.8</f>
        <v>120</v>
      </c>
      <c r="I41" s="21">
        <f>(I$3-I$4)*$C41*0.9</f>
        <v>148.5</v>
      </c>
      <c r="J41" s="21">
        <f t="shared" si="3"/>
        <v>127.5</v>
      </c>
      <c r="K41" s="21">
        <f t="shared" si="3"/>
        <v>142.5</v>
      </c>
      <c r="L41" s="21">
        <f t="shared" si="3"/>
        <v>142.5</v>
      </c>
      <c r="M41" s="21">
        <f t="shared" si="3"/>
        <v>75</v>
      </c>
      <c r="N41" s="21">
        <f t="shared" si="3"/>
        <v>120</v>
      </c>
      <c r="O41" s="21">
        <f t="shared" si="3"/>
        <v>165</v>
      </c>
      <c r="P41" s="21">
        <f t="shared" si="3"/>
        <v>165</v>
      </c>
      <c r="Q41" s="21">
        <f t="shared" si="3"/>
        <v>157.5</v>
      </c>
      <c r="R41" s="21">
        <f t="shared" si="3"/>
        <v>142.5</v>
      </c>
      <c r="S41" s="61">
        <f t="shared" si="2"/>
        <v>1612.5</v>
      </c>
    </row>
    <row r="42" spans="1:19" x14ac:dyDescent="0.3">
      <c r="A42" s="43" t="s">
        <v>350</v>
      </c>
      <c r="B42" s="54">
        <v>220</v>
      </c>
      <c r="C42" s="45">
        <v>7.5</v>
      </c>
      <c r="D42" s="49"/>
      <c r="E42" s="49">
        <v>1</v>
      </c>
      <c r="F42" s="49"/>
      <c r="G42" s="21">
        <f t="shared" si="3"/>
        <v>165</v>
      </c>
      <c r="H42" s="21">
        <v>112.5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61">
        <f t="shared" si="2"/>
        <v>277.5</v>
      </c>
    </row>
    <row r="43" spans="1:19" x14ac:dyDescent="0.3">
      <c r="A43" s="28" t="s">
        <v>44</v>
      </c>
      <c r="B43" s="67"/>
      <c r="C43" s="67"/>
      <c r="D43" s="68"/>
      <c r="E43" s="68"/>
      <c r="F43" s="66"/>
      <c r="G43" s="69">
        <f t="shared" ref="G43:S43" si="4">SUM(G6:G42)</f>
        <v>4969.5</v>
      </c>
      <c r="H43" s="69">
        <f t="shared" si="4"/>
        <v>4762.5</v>
      </c>
      <c r="I43" s="69">
        <f t="shared" si="4"/>
        <v>5424</v>
      </c>
      <c r="J43" s="69">
        <f t="shared" si="4"/>
        <v>4233</v>
      </c>
      <c r="K43" s="69">
        <f t="shared" si="4"/>
        <v>5130</v>
      </c>
      <c r="L43" s="69">
        <f t="shared" si="4"/>
        <v>5145</v>
      </c>
      <c r="M43" s="69">
        <f t="shared" si="4"/>
        <v>2775</v>
      </c>
      <c r="N43" s="69">
        <f t="shared" si="4"/>
        <v>4320</v>
      </c>
      <c r="O43" s="69">
        <f t="shared" si="4"/>
        <v>5940</v>
      </c>
      <c r="P43" s="69">
        <f t="shared" si="4"/>
        <v>5610</v>
      </c>
      <c r="Q43" s="69">
        <f t="shared" si="4"/>
        <v>4567.5</v>
      </c>
      <c r="R43" s="69">
        <f t="shared" si="4"/>
        <v>4132.5</v>
      </c>
      <c r="S43" s="69">
        <f t="shared" si="4"/>
        <v>57009</v>
      </c>
    </row>
    <row r="44" spans="1:19" x14ac:dyDescent="0.3">
      <c r="A44" s="21"/>
      <c r="G44" s="131"/>
      <c r="H44" s="131"/>
      <c r="I44" s="131"/>
      <c r="J44" s="133">
        <v>0.03</v>
      </c>
      <c r="K44" s="133">
        <f>J44</f>
        <v>0.03</v>
      </c>
      <c r="L44" s="133">
        <f t="shared" ref="L44:R44" si="5">K44</f>
        <v>0.03</v>
      </c>
      <c r="M44" s="133">
        <f t="shared" si="5"/>
        <v>0.03</v>
      </c>
      <c r="N44" s="133">
        <f t="shared" si="5"/>
        <v>0.03</v>
      </c>
      <c r="O44" s="133">
        <f t="shared" si="5"/>
        <v>0.03</v>
      </c>
      <c r="P44" s="133">
        <f t="shared" si="5"/>
        <v>0.03</v>
      </c>
      <c r="Q44" s="133">
        <f t="shared" si="5"/>
        <v>0.03</v>
      </c>
      <c r="R44" s="133">
        <f t="shared" si="5"/>
        <v>0.03</v>
      </c>
      <c r="S44" s="24"/>
    </row>
    <row r="45" spans="1:19" x14ac:dyDescent="0.3">
      <c r="A45" s="24" t="s">
        <v>72</v>
      </c>
      <c r="B45" s="55"/>
      <c r="C45" s="34"/>
      <c r="F45" s="50"/>
      <c r="G45" s="16">
        <f>(G6*$B$6+G7*$B$7+G8*$B$8+G9*$B$9+G10*$B$10+G31*$B$31+G11*$B$11+G12*$B$12+G13*$B$13+G14*$B$14+G15*$B$15+G16*$B$16+G17*$B$17+G18*$B$18+G19*$B$19+G20*$B$20+G21*$B$21+G22*$B$22+G23*$B$23+G24*$B$24+G25*$B$25+G26*$B$26+G27*$B$27+G28*$B$28+G29*$B$29+$B$30*G30+$B$32*G32+G33*$B$33+G34*$B$34+G35*$B$35+G36*$B$36+G37*$B$37+G38*$B$38+G39*$B$39+G40*$B$40+G41*$B$41+G42*$B$42)*(1+G44)</f>
        <v>1209972.5384615385</v>
      </c>
      <c r="H45" s="16">
        <f t="shared" ref="H45:R45" si="6">(H6*$B$6+H7*$B$7+H8*$B$8+H9*$B$9+H10*$B$10+H31*$B$31+H11*$B$11+H12*$B$12+H13*$B$13+H14*$B$14+H15*$B$15+H16*$B$16+H17*$B$17+H18*$B$18+H19*$B$19+H20*$B$20+H21*$B$21+H22*$B$22+H23*$B$23+H24*$B$24+H25*$B$25+H26*$B$26+H27*$B$27+H28*$B$28+H29*$B$29+$B$30*H30+$B$32*H32+H33*$B$33+H34*$B$34+H35*$B$35+H36*$B$36+H37*$B$37+H38*$B$38+H39*$B$39+H40*$B$40+H41*$B$41+H42*$B$42)*(1+H44)</f>
        <v>1148522.3076923077</v>
      </c>
      <c r="I45" s="16">
        <f t="shared" si="6"/>
        <v>1317823.0384615385</v>
      </c>
      <c r="J45" s="16">
        <f t="shared" si="6"/>
        <v>1059216.9403846154</v>
      </c>
      <c r="K45" s="16">
        <f t="shared" si="6"/>
        <v>1277766.6980769234</v>
      </c>
      <c r="L45" s="16">
        <f t="shared" si="6"/>
        <v>1281721.8980769233</v>
      </c>
      <c r="M45" s="16">
        <f t="shared" si="6"/>
        <v>692284.78846153861</v>
      </c>
      <c r="N45" s="16">
        <f t="shared" si="6"/>
        <v>1076014.0615384614</v>
      </c>
      <c r="O45" s="16">
        <f t="shared" si="6"/>
        <v>1479519.3346153847</v>
      </c>
      <c r="P45" s="16">
        <f t="shared" si="6"/>
        <v>1414938.3346153847</v>
      </c>
      <c r="Q45" s="16">
        <f t="shared" si="6"/>
        <v>1213056.155769231</v>
      </c>
      <c r="R45" s="16">
        <f t="shared" si="6"/>
        <v>1097526.9980769232</v>
      </c>
      <c r="S45" s="16">
        <f>SUM(G45:R45)</f>
        <v>14268363.094230771</v>
      </c>
    </row>
    <row r="46" spans="1:19" x14ac:dyDescent="0.3">
      <c r="A46" s="24" t="s">
        <v>145</v>
      </c>
      <c r="B46" s="55"/>
      <c r="C46" s="34"/>
      <c r="F46" s="50"/>
      <c r="G46" s="16">
        <f>(G2*AVERAGE($C$6:$C$32)*COUNT(G6:G32)*AVERAGE($B$6:$B$32))*(1+G44)</f>
        <v>48836.004273504266</v>
      </c>
      <c r="H46" s="16">
        <f t="shared" ref="H46:R46" si="7">(H2*AVERAGE($C$6:$C$32)*COUNT(H6:H32)*AVERAGE($B$6:$B$32))*(1+H44)</f>
        <v>0</v>
      </c>
      <c r="I46" s="16">
        <f t="shared" si="7"/>
        <v>0</v>
      </c>
      <c r="J46" s="16">
        <f t="shared" si="7"/>
        <v>162975.51346153847</v>
      </c>
      <c r="K46" s="16">
        <f t="shared" si="7"/>
        <v>108650.34230769229</v>
      </c>
      <c r="L46" s="16">
        <f t="shared" si="7"/>
        <v>54325.171153846146</v>
      </c>
      <c r="M46" s="16">
        <f t="shared" si="7"/>
        <v>0</v>
      </c>
      <c r="N46" s="16">
        <f t="shared" si="7"/>
        <v>0</v>
      </c>
      <c r="O46" s="16">
        <f t="shared" si="7"/>
        <v>0</v>
      </c>
      <c r="P46" s="16">
        <f t="shared" si="7"/>
        <v>0</v>
      </c>
      <c r="Q46" s="16">
        <f t="shared" si="7"/>
        <v>0</v>
      </c>
      <c r="R46" s="16">
        <f t="shared" si="7"/>
        <v>52313.127777777772</v>
      </c>
      <c r="S46" s="16">
        <f>SUM(G46:R46)</f>
        <v>427100.15897435893</v>
      </c>
    </row>
    <row r="47" spans="1:19" x14ac:dyDescent="0.3">
      <c r="A47" s="24"/>
      <c r="B47" s="55"/>
      <c r="C47" s="34"/>
      <c r="F47" s="50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x14ac:dyDescent="0.3">
      <c r="A48" s="43" t="s">
        <v>164</v>
      </c>
      <c r="B48" s="55"/>
      <c r="C48" s="34"/>
      <c r="F48" s="50"/>
      <c r="G48" s="46">
        <f>SUM(G10:G42)+G9*$E$9+G8*$E$8</f>
        <v>4458</v>
      </c>
      <c r="H48" s="46">
        <f t="shared" ref="H48:R48" si="8">SUM(H10:H42)+H9*$E$9+H8*$E$8</f>
        <v>4297.5</v>
      </c>
      <c r="I48" s="46">
        <f t="shared" si="8"/>
        <v>4912.5</v>
      </c>
      <c r="J48" s="46">
        <f t="shared" si="8"/>
        <v>3837.75</v>
      </c>
      <c r="K48" s="46">
        <f t="shared" si="8"/>
        <v>4688.25</v>
      </c>
      <c r="L48" s="46">
        <f t="shared" si="8"/>
        <v>4703.25</v>
      </c>
      <c r="M48" s="46">
        <f t="shared" si="8"/>
        <v>2542.5</v>
      </c>
      <c r="N48" s="46">
        <f t="shared" si="8"/>
        <v>3948</v>
      </c>
      <c r="O48" s="46">
        <f t="shared" si="8"/>
        <v>5428.5</v>
      </c>
      <c r="P48" s="46">
        <f t="shared" si="8"/>
        <v>5098.5</v>
      </c>
      <c r="Q48" s="46">
        <f t="shared" si="8"/>
        <v>4079.25</v>
      </c>
      <c r="R48" s="46">
        <f t="shared" si="8"/>
        <v>3690.75</v>
      </c>
      <c r="S48" s="61">
        <f>SUM(G48:R48)</f>
        <v>51684.75</v>
      </c>
    </row>
    <row r="49" spans="1:21" x14ac:dyDescent="0.3">
      <c r="A49" s="43" t="s">
        <v>141</v>
      </c>
      <c r="B49" s="55"/>
      <c r="C49" s="34"/>
      <c r="F49" s="50"/>
      <c r="G49" s="46">
        <f>SUM(G6:G7)+G8*$D$8+G9*$D$9</f>
        <v>511.5</v>
      </c>
      <c r="H49" s="46">
        <f t="shared" ref="H49:R49" si="9">SUM(H6:H7)+H8*$D$8+H9*$D$9</f>
        <v>465</v>
      </c>
      <c r="I49" s="46">
        <f t="shared" si="9"/>
        <v>511.5</v>
      </c>
      <c r="J49" s="46">
        <f t="shared" si="9"/>
        <v>395.25</v>
      </c>
      <c r="K49" s="46">
        <f t="shared" si="9"/>
        <v>441.75</v>
      </c>
      <c r="L49" s="46">
        <f t="shared" si="9"/>
        <v>441.75</v>
      </c>
      <c r="M49" s="46">
        <f t="shared" si="9"/>
        <v>232.5</v>
      </c>
      <c r="N49" s="46">
        <f t="shared" si="9"/>
        <v>372</v>
      </c>
      <c r="O49" s="46">
        <f t="shared" si="9"/>
        <v>511.5</v>
      </c>
      <c r="P49" s="46">
        <f t="shared" si="9"/>
        <v>511.5</v>
      </c>
      <c r="Q49" s="46">
        <f t="shared" si="9"/>
        <v>488.25</v>
      </c>
      <c r="R49" s="46">
        <f t="shared" si="9"/>
        <v>441.75</v>
      </c>
      <c r="S49" s="61">
        <f>SUM(G49:R49)</f>
        <v>5324.25</v>
      </c>
    </row>
    <row r="50" spans="1:21" x14ac:dyDescent="0.3">
      <c r="A50" s="43"/>
      <c r="B50" s="55"/>
      <c r="C50" s="34"/>
      <c r="F50" s="50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35"/>
    </row>
    <row r="51" spans="1:21" ht="13.5" customHeight="1" x14ac:dyDescent="0.3">
      <c r="G51" s="63">
        <v>0.9</v>
      </c>
      <c r="H51" s="63">
        <v>0.9</v>
      </c>
      <c r="I51" s="63">
        <v>1</v>
      </c>
      <c r="J51" s="63">
        <v>1</v>
      </c>
      <c r="K51" s="63">
        <v>1</v>
      </c>
      <c r="L51" s="63">
        <v>1.1000000000000001</v>
      </c>
      <c r="M51" s="63">
        <v>1</v>
      </c>
      <c r="N51" s="63">
        <v>1.1000000000000001</v>
      </c>
      <c r="O51" s="63">
        <v>1.1000000000000001</v>
      </c>
      <c r="P51" s="63">
        <v>1.1000000000000001</v>
      </c>
      <c r="Q51" s="63">
        <v>1</v>
      </c>
      <c r="R51" s="63">
        <v>1</v>
      </c>
    </row>
    <row r="52" spans="1:21" ht="13.5" customHeight="1" x14ac:dyDescent="0.3">
      <c r="A52" s="43" t="s">
        <v>57</v>
      </c>
      <c r="B52" s="55">
        <v>540</v>
      </c>
      <c r="C52" s="39">
        <v>0.93</v>
      </c>
      <c r="G52" s="46">
        <f t="shared" ref="G52:R52" si="10">G48*$B52*G51*$C52</f>
        <v>2014926.84</v>
      </c>
      <c r="H52" s="46">
        <f t="shared" si="10"/>
        <v>1942384.05</v>
      </c>
      <c r="I52" s="46">
        <f t="shared" si="10"/>
        <v>2467057.5</v>
      </c>
      <c r="J52" s="46">
        <f t="shared" si="10"/>
        <v>1927318.05</v>
      </c>
      <c r="K52" s="46">
        <f t="shared" si="10"/>
        <v>2354439.15</v>
      </c>
      <c r="L52" s="46">
        <f t="shared" si="10"/>
        <v>2598169.3650000002</v>
      </c>
      <c r="M52" s="46">
        <f t="shared" si="10"/>
        <v>1276843.5</v>
      </c>
      <c r="N52" s="46">
        <f t="shared" si="10"/>
        <v>2180954.16</v>
      </c>
      <c r="O52" s="46">
        <f t="shared" si="10"/>
        <v>2998811.9700000007</v>
      </c>
      <c r="P52" s="46">
        <f t="shared" si="10"/>
        <v>2816513.3700000006</v>
      </c>
      <c r="Q52" s="46">
        <f t="shared" si="10"/>
        <v>2048599.35</v>
      </c>
      <c r="R52" s="46">
        <f t="shared" si="10"/>
        <v>1853494.6500000001</v>
      </c>
      <c r="S52" s="46">
        <f>SUM(G52:R52)</f>
        <v>26479511.955000002</v>
      </c>
    </row>
    <row r="53" spans="1:21" ht="13.5" customHeight="1" x14ac:dyDescent="0.3">
      <c r="A53" s="43" t="s">
        <v>369</v>
      </c>
      <c r="B53" s="55"/>
      <c r="C53" s="39">
        <v>0.55000000000000004</v>
      </c>
      <c r="G53" s="46">
        <f>G52*$C$53</f>
        <v>1108209.7620000001</v>
      </c>
      <c r="H53" s="46">
        <f t="shared" ref="H53:R53" si="11">H52*$C$53</f>
        <v>1068311.2275</v>
      </c>
      <c r="I53" s="46">
        <f t="shared" si="11"/>
        <v>1356881.625</v>
      </c>
      <c r="J53" s="46">
        <f t="shared" si="11"/>
        <v>1060024.9275000002</v>
      </c>
      <c r="K53" s="46">
        <f t="shared" si="11"/>
        <v>1294941.5325</v>
      </c>
      <c r="L53" s="46">
        <f t="shared" si="11"/>
        <v>1428993.1507500003</v>
      </c>
      <c r="M53" s="46">
        <f t="shared" si="11"/>
        <v>702263.92500000005</v>
      </c>
      <c r="N53" s="46">
        <f t="shared" si="11"/>
        <v>1199524.7880000002</v>
      </c>
      <c r="O53" s="46">
        <f t="shared" si="11"/>
        <v>1649346.5835000004</v>
      </c>
      <c r="P53" s="46">
        <f t="shared" si="11"/>
        <v>1549082.3535000004</v>
      </c>
      <c r="Q53" s="46">
        <f t="shared" si="11"/>
        <v>1126729.6425000001</v>
      </c>
      <c r="R53" s="46">
        <f t="shared" si="11"/>
        <v>1019422.0575000001</v>
      </c>
      <c r="S53" s="46">
        <f>SUM(G53:R53)</f>
        <v>14563731.57525</v>
      </c>
    </row>
    <row r="54" spans="1:21" ht="13.5" customHeight="1" x14ac:dyDescent="0.3">
      <c r="A54" s="43" t="s">
        <v>173</v>
      </c>
      <c r="B54" s="55"/>
      <c r="C54" s="39"/>
      <c r="D54" s="134"/>
      <c r="G54" s="46">
        <f>(G52+G53)*$D$54</f>
        <v>0</v>
      </c>
      <c r="H54" s="46">
        <f t="shared" ref="H54:R54" si="12">(H52+H53)*$D$54</f>
        <v>0</v>
      </c>
      <c r="I54" s="46">
        <f t="shared" si="12"/>
        <v>0</v>
      </c>
      <c r="J54" s="46">
        <f t="shared" si="12"/>
        <v>0</v>
      </c>
      <c r="K54" s="46">
        <f t="shared" si="12"/>
        <v>0</v>
      </c>
      <c r="L54" s="46">
        <f t="shared" si="12"/>
        <v>0</v>
      </c>
      <c r="M54" s="46">
        <f t="shared" si="12"/>
        <v>0</v>
      </c>
      <c r="N54" s="46">
        <f t="shared" si="12"/>
        <v>0</v>
      </c>
      <c r="O54" s="46">
        <f t="shared" si="12"/>
        <v>0</v>
      </c>
      <c r="P54" s="46">
        <f t="shared" si="12"/>
        <v>0</v>
      </c>
      <c r="Q54" s="46">
        <f t="shared" si="12"/>
        <v>0</v>
      </c>
      <c r="R54" s="46">
        <f t="shared" si="12"/>
        <v>0</v>
      </c>
      <c r="S54" s="46">
        <f>SUM(G54:R54)</f>
        <v>0</v>
      </c>
    </row>
    <row r="55" spans="1:21" ht="13.5" customHeight="1" x14ac:dyDescent="0.3">
      <c r="A55" s="43"/>
      <c r="B55" s="55"/>
      <c r="C55" s="39"/>
      <c r="G55" s="16">
        <f>SUM(G51:G54)</f>
        <v>3123137.5020000003</v>
      </c>
      <c r="H55" s="16">
        <f t="shared" ref="H55:R55" si="13">SUM(H51:H54)</f>
        <v>3010696.1775000002</v>
      </c>
      <c r="I55" s="16">
        <f t="shared" si="13"/>
        <v>3823940.125</v>
      </c>
      <c r="J55" s="16">
        <f t="shared" si="13"/>
        <v>2987343.9775</v>
      </c>
      <c r="K55" s="16">
        <f t="shared" si="13"/>
        <v>3649381.6825000001</v>
      </c>
      <c r="L55" s="16">
        <f t="shared" si="13"/>
        <v>4027163.6157500008</v>
      </c>
      <c r="M55" s="16">
        <f t="shared" si="13"/>
        <v>1979108.425</v>
      </c>
      <c r="N55" s="16">
        <f t="shared" si="13"/>
        <v>3380480.0480000004</v>
      </c>
      <c r="O55" s="16">
        <f t="shared" si="13"/>
        <v>4648159.6535000009</v>
      </c>
      <c r="P55" s="16">
        <f t="shared" si="13"/>
        <v>4365596.8235000009</v>
      </c>
      <c r="Q55" s="16">
        <f t="shared" si="13"/>
        <v>3175329.9925000002</v>
      </c>
      <c r="R55" s="16">
        <f t="shared" si="13"/>
        <v>2872917.7075000005</v>
      </c>
      <c r="S55" s="16">
        <f>SUM(G55:R55)</f>
        <v>41043255.730250008</v>
      </c>
    </row>
    <row r="56" spans="1:21" ht="13.5" customHeight="1" x14ac:dyDescent="0.3">
      <c r="A56" s="43"/>
      <c r="B56" s="55"/>
      <c r="C56" s="39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1:21" s="3" customFormat="1" ht="13.5" customHeight="1" x14ac:dyDescent="0.3">
      <c r="A57" s="43"/>
      <c r="B57" s="73"/>
      <c r="C57" s="74"/>
      <c r="D57" s="51"/>
      <c r="E57" s="51"/>
      <c r="F57" s="48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 spans="1:21" s="3" customFormat="1" ht="13.5" customHeight="1" x14ac:dyDescent="0.3">
      <c r="A58" s="43"/>
      <c r="B58" s="73"/>
      <c r="C58" s="74"/>
      <c r="D58" s="51"/>
      <c r="E58" s="51"/>
      <c r="F58" s="48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  <row r="59" spans="1:21" s="3" customFormat="1" ht="13.5" customHeight="1" x14ac:dyDescent="0.3">
      <c r="A59" s="43"/>
      <c r="B59" s="73"/>
      <c r="C59" s="74"/>
      <c r="D59" s="51"/>
      <c r="E59" s="51"/>
      <c r="F59" s="4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21" s="3" customFormat="1" ht="13.5" customHeight="1" x14ac:dyDescent="0.3">
      <c r="A60" s="43" t="s">
        <v>334</v>
      </c>
      <c r="B60" s="73"/>
      <c r="C60" s="74"/>
      <c r="D60" s="51"/>
      <c r="E60" s="51"/>
      <c r="F60" s="48"/>
      <c r="G60" s="46">
        <v>0</v>
      </c>
      <c r="H60" s="46">
        <v>750000</v>
      </c>
      <c r="I60" s="46">
        <v>1100000</v>
      </c>
      <c r="J60" s="46">
        <v>1400000</v>
      </c>
      <c r="K60" s="46">
        <v>1800000</v>
      </c>
      <c r="L60" s="46">
        <v>1850000</v>
      </c>
      <c r="M60" s="46">
        <v>1000000</v>
      </c>
      <c r="N60" s="46">
        <f>L60</f>
        <v>1850000</v>
      </c>
      <c r="O60" s="46">
        <f>N60</f>
        <v>1850000</v>
      </c>
      <c r="P60" s="46">
        <f>O60</f>
        <v>1850000</v>
      </c>
      <c r="Q60" s="46">
        <v>1800000</v>
      </c>
      <c r="R60" s="46">
        <v>1800000</v>
      </c>
      <c r="S60" s="46">
        <f t="shared" ref="S60:S66" si="14">SUM(G60:R60)</f>
        <v>17050000</v>
      </c>
      <c r="T60" s="46"/>
      <c r="U60" s="109" t="e">
        <f t="shared" ref="U60:U65" si="15">S60/T60</f>
        <v>#DIV/0!</v>
      </c>
    </row>
    <row r="61" spans="1:21" s="3" customFormat="1" ht="13.5" customHeight="1" x14ac:dyDescent="0.3">
      <c r="A61" s="43"/>
      <c r="B61" s="73"/>
      <c r="C61" s="74"/>
      <c r="D61" s="51"/>
      <c r="E61" s="51"/>
      <c r="F61" s="48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>
        <f t="shared" si="14"/>
        <v>0</v>
      </c>
      <c r="T61" s="46"/>
      <c r="U61" s="109" t="e">
        <f t="shared" si="15"/>
        <v>#DIV/0!</v>
      </c>
    </row>
    <row r="62" spans="1:21" ht="13.5" customHeight="1" x14ac:dyDescent="0.3">
      <c r="A62" s="43" t="s">
        <v>335</v>
      </c>
      <c r="C62" s="39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>
        <f t="shared" si="14"/>
        <v>0</v>
      </c>
      <c r="T62" s="46"/>
      <c r="U62" s="109" t="e">
        <f t="shared" si="15"/>
        <v>#DIV/0!</v>
      </c>
    </row>
    <row r="63" spans="1:21" x14ac:dyDescent="0.3">
      <c r="A63" s="43" t="s">
        <v>260</v>
      </c>
      <c r="B63" s="55"/>
      <c r="C63" s="34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>
        <f t="shared" si="14"/>
        <v>0</v>
      </c>
      <c r="T63" s="46"/>
      <c r="U63" s="109" t="e">
        <f t="shared" si="15"/>
        <v>#DIV/0!</v>
      </c>
    </row>
    <row r="64" spans="1:21" x14ac:dyDescent="0.3">
      <c r="A64" s="43" t="s">
        <v>262</v>
      </c>
      <c r="B64" s="55"/>
      <c r="C64" s="34"/>
      <c r="G64" s="46">
        <v>270000</v>
      </c>
      <c r="H64" s="46"/>
      <c r="I64" s="46">
        <v>400000</v>
      </c>
      <c r="J64" s="46">
        <f>I64</f>
        <v>400000</v>
      </c>
      <c r="K64" s="46">
        <v>500000</v>
      </c>
      <c r="L64" s="46">
        <f>K64</f>
        <v>500000</v>
      </c>
      <c r="M64" s="46">
        <f>L64/2</f>
        <v>250000</v>
      </c>
      <c r="N64" s="46">
        <v>600000</v>
      </c>
      <c r="O64" s="46">
        <f>N64</f>
        <v>600000</v>
      </c>
      <c r="P64" s="46">
        <f>O64</f>
        <v>600000</v>
      </c>
      <c r="Q64" s="46">
        <f>P64</f>
        <v>600000</v>
      </c>
      <c r="R64" s="46">
        <f>Q64</f>
        <v>600000</v>
      </c>
      <c r="S64" s="46">
        <f t="shared" si="14"/>
        <v>5320000</v>
      </c>
      <c r="T64" s="46"/>
      <c r="U64" s="109" t="e">
        <f t="shared" si="15"/>
        <v>#DIV/0!</v>
      </c>
    </row>
    <row r="65" spans="1:21" x14ac:dyDescent="0.3">
      <c r="A65" s="43" t="s">
        <v>261</v>
      </c>
      <c r="B65" s="55"/>
      <c r="C65" s="34"/>
      <c r="G65" s="15">
        <v>950000</v>
      </c>
      <c r="H65" s="15">
        <f>G65</f>
        <v>950000</v>
      </c>
      <c r="I65" s="15">
        <f>H65</f>
        <v>950000</v>
      </c>
      <c r="J65" s="15">
        <v>400000</v>
      </c>
      <c r="K65" s="15"/>
      <c r="L65" s="15"/>
      <c r="M65" s="15"/>
      <c r="N65" s="15"/>
      <c r="O65" s="15"/>
      <c r="P65" s="15"/>
      <c r="Q65" s="15"/>
      <c r="R65" s="15"/>
      <c r="S65" s="46">
        <f t="shared" si="14"/>
        <v>3250000</v>
      </c>
      <c r="T65" s="46"/>
      <c r="U65" s="109" t="e">
        <f t="shared" si="15"/>
        <v>#DIV/0!</v>
      </c>
    </row>
    <row r="66" spans="1:21" x14ac:dyDescent="0.3">
      <c r="A66" s="43" t="s">
        <v>263</v>
      </c>
      <c r="B66" s="55"/>
      <c r="C66" s="34"/>
      <c r="G66" s="15"/>
      <c r="H66" s="15"/>
      <c r="I66" s="15">
        <v>150000</v>
      </c>
      <c r="J66" s="46">
        <v>350000</v>
      </c>
      <c r="K66" s="46">
        <v>300000</v>
      </c>
      <c r="L66" s="46">
        <v>300000</v>
      </c>
      <c r="M66" s="15">
        <v>100000</v>
      </c>
      <c r="N66" s="15">
        <f>M66</f>
        <v>100000</v>
      </c>
      <c r="O66" s="15">
        <f>N66</f>
        <v>100000</v>
      </c>
      <c r="P66" s="15">
        <v>100000</v>
      </c>
      <c r="Q66" s="15">
        <f>P66</f>
        <v>100000</v>
      </c>
      <c r="R66" s="15">
        <f>Q66</f>
        <v>100000</v>
      </c>
      <c r="S66" s="46">
        <f t="shared" si="14"/>
        <v>1700000</v>
      </c>
      <c r="T66" s="46"/>
      <c r="U66" s="109"/>
    </row>
    <row r="67" spans="1:21" x14ac:dyDescent="0.3">
      <c r="A67" s="43"/>
      <c r="B67" s="55"/>
      <c r="C67" s="34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30"/>
    </row>
    <row r="69" spans="1:21" x14ac:dyDescent="0.3">
      <c r="G69" s="46">
        <f>SUM(G60:G68)</f>
        <v>1220000</v>
      </c>
      <c r="H69" s="46">
        <f t="shared" ref="H69:R69" si="16">SUM(H60:H68)</f>
        <v>1700000</v>
      </c>
      <c r="I69" s="46">
        <f t="shared" si="16"/>
        <v>2600000</v>
      </c>
      <c r="J69" s="46">
        <f t="shared" si="16"/>
        <v>2550000</v>
      </c>
      <c r="K69" s="46">
        <f t="shared" si="16"/>
        <v>2600000</v>
      </c>
      <c r="L69" s="46">
        <f t="shared" si="16"/>
        <v>2650000</v>
      </c>
      <c r="M69" s="46">
        <f t="shared" si="16"/>
        <v>1350000</v>
      </c>
      <c r="N69" s="46">
        <f t="shared" si="16"/>
        <v>2550000</v>
      </c>
      <c r="O69" s="46">
        <f t="shared" si="16"/>
        <v>2550000</v>
      </c>
      <c r="P69" s="46">
        <f t="shared" si="16"/>
        <v>2550000</v>
      </c>
      <c r="Q69" s="46">
        <f t="shared" si="16"/>
        <v>2500000</v>
      </c>
      <c r="R69" s="46">
        <f t="shared" si="16"/>
        <v>2500000</v>
      </c>
      <c r="S69" s="46">
        <f>SUM(S60:S68)</f>
        <v>27320000</v>
      </c>
      <c r="T69" s="46">
        <f>SUM(T60:T68)</f>
        <v>0</v>
      </c>
    </row>
    <row r="70" spans="1:21" x14ac:dyDescent="0.3">
      <c r="A70" s="22">
        <v>4300</v>
      </c>
      <c r="B70" s="43" t="s">
        <v>186</v>
      </c>
      <c r="D70" s="115">
        <v>0.28000000000000003</v>
      </c>
      <c r="G70" s="46">
        <f>G60*$D$70</f>
        <v>0</v>
      </c>
      <c r="H70" s="46">
        <f t="shared" ref="H70:R70" si="17">H60*$D$70</f>
        <v>210000.00000000003</v>
      </c>
      <c r="I70" s="46">
        <f t="shared" si="17"/>
        <v>308000.00000000006</v>
      </c>
      <c r="J70" s="46">
        <f t="shared" si="17"/>
        <v>392000.00000000006</v>
      </c>
      <c r="K70" s="46">
        <f t="shared" si="17"/>
        <v>504000.00000000006</v>
      </c>
      <c r="L70" s="46">
        <f t="shared" si="17"/>
        <v>518000.00000000006</v>
      </c>
      <c r="M70" s="46">
        <f t="shared" si="17"/>
        <v>280000</v>
      </c>
      <c r="N70" s="46">
        <f t="shared" si="17"/>
        <v>518000.00000000006</v>
      </c>
      <c r="O70" s="46">
        <f t="shared" si="17"/>
        <v>518000.00000000006</v>
      </c>
      <c r="P70" s="46">
        <f t="shared" si="17"/>
        <v>518000.00000000006</v>
      </c>
      <c r="Q70" s="46">
        <f t="shared" si="17"/>
        <v>504000.00000000006</v>
      </c>
      <c r="R70" s="46">
        <f t="shared" si="17"/>
        <v>504000.00000000006</v>
      </c>
      <c r="S70" s="46">
        <f>SUM(G70:R70)</f>
        <v>4774000</v>
      </c>
      <c r="T70" s="46"/>
    </row>
    <row r="71" spans="1:21" x14ac:dyDescent="0.3">
      <c r="A71" s="22"/>
      <c r="B71" s="43" t="s">
        <v>283</v>
      </c>
      <c r="D71" s="115"/>
      <c r="G71" s="46">
        <f>G64*40%</f>
        <v>108000</v>
      </c>
      <c r="H71" s="46"/>
      <c r="I71" s="46"/>
      <c r="J71" s="46"/>
      <c r="K71" s="46"/>
      <c r="L71" s="46"/>
      <c r="M71" s="46">
        <f>M64*40%</f>
        <v>100000</v>
      </c>
      <c r="N71" s="46">
        <f>N64*25%</f>
        <v>150000</v>
      </c>
      <c r="O71" s="46">
        <f>O64*20%</f>
        <v>120000</v>
      </c>
      <c r="P71" s="46">
        <f>P64*20%</f>
        <v>120000</v>
      </c>
      <c r="Q71" s="46">
        <f>Q64*20%</f>
        <v>120000</v>
      </c>
      <c r="R71" s="46">
        <f>R64*20%</f>
        <v>120000</v>
      </c>
      <c r="S71" s="46">
        <f>SUM(G71:R71)</f>
        <v>838000</v>
      </c>
      <c r="T71" s="46"/>
    </row>
    <row r="72" spans="1:21" x14ac:dyDescent="0.3">
      <c r="A72" s="22"/>
      <c r="B72" s="43" t="s">
        <v>284</v>
      </c>
      <c r="D72" s="115">
        <v>0.28000000000000003</v>
      </c>
      <c r="G72" s="46">
        <f>G65*$D$72</f>
        <v>266000</v>
      </c>
      <c r="H72" s="46">
        <f>H65*$D$72</f>
        <v>266000</v>
      </c>
      <c r="I72" s="46">
        <f>I65*$D$72</f>
        <v>266000</v>
      </c>
      <c r="J72" s="46">
        <f>J65*$D$72</f>
        <v>112000.00000000001</v>
      </c>
      <c r="K72" s="46"/>
      <c r="L72" s="46">
        <f>L65*$D$72</f>
        <v>0</v>
      </c>
      <c r="M72" s="46">
        <f t="shared" ref="M72:R72" si="18">M65*$D$72</f>
        <v>0</v>
      </c>
      <c r="N72" s="46">
        <f t="shared" si="18"/>
        <v>0</v>
      </c>
      <c r="O72" s="46">
        <f t="shared" si="18"/>
        <v>0</v>
      </c>
      <c r="P72" s="46">
        <f t="shared" si="18"/>
        <v>0</v>
      </c>
      <c r="Q72" s="46">
        <f t="shared" si="18"/>
        <v>0</v>
      </c>
      <c r="R72" s="46">
        <f t="shared" si="18"/>
        <v>0</v>
      </c>
      <c r="S72" s="46">
        <f>SUM(G72:R72)</f>
        <v>910000</v>
      </c>
      <c r="T72" s="46"/>
    </row>
    <row r="73" spans="1:21" x14ac:dyDescent="0.3">
      <c r="A73" s="22"/>
      <c r="B73" s="43" t="s">
        <v>285</v>
      </c>
      <c r="D73" s="115">
        <v>0.33</v>
      </c>
      <c r="G73" s="46">
        <f>(G66+G67)*$D$73</f>
        <v>0</v>
      </c>
      <c r="H73" s="46">
        <f t="shared" ref="H73:R73" si="19">(H66+H67)*$D$73</f>
        <v>0</v>
      </c>
      <c r="I73" s="46">
        <f t="shared" si="19"/>
        <v>49500</v>
      </c>
      <c r="J73" s="46">
        <f t="shared" si="19"/>
        <v>115500</v>
      </c>
      <c r="K73" s="46">
        <f t="shared" si="19"/>
        <v>99000</v>
      </c>
      <c r="L73" s="46">
        <f t="shared" si="19"/>
        <v>99000</v>
      </c>
      <c r="M73" s="46">
        <f t="shared" si="19"/>
        <v>33000</v>
      </c>
      <c r="N73" s="46">
        <f t="shared" si="19"/>
        <v>33000</v>
      </c>
      <c r="O73" s="46">
        <f t="shared" si="19"/>
        <v>33000</v>
      </c>
      <c r="P73" s="46">
        <f t="shared" si="19"/>
        <v>33000</v>
      </c>
      <c r="Q73" s="46">
        <f t="shared" si="19"/>
        <v>33000</v>
      </c>
      <c r="R73" s="46">
        <f t="shared" si="19"/>
        <v>33000</v>
      </c>
      <c r="S73" s="46">
        <f>SUM(G73:R73)</f>
        <v>561000</v>
      </c>
      <c r="T73" s="46"/>
    </row>
    <row r="74" spans="1:21" x14ac:dyDescent="0.3">
      <c r="A74" s="22"/>
      <c r="B74" s="43"/>
      <c r="D74" s="115"/>
      <c r="G74" s="46">
        <f>SUM(G70:G73)</f>
        <v>374000</v>
      </c>
      <c r="H74" s="46">
        <f t="shared" ref="H74:R74" si="20">SUM(H70:H73)</f>
        <v>476000</v>
      </c>
      <c r="I74" s="46">
        <f t="shared" si="20"/>
        <v>623500</v>
      </c>
      <c r="J74" s="46">
        <f t="shared" si="20"/>
        <v>619500</v>
      </c>
      <c r="K74" s="46">
        <f t="shared" si="20"/>
        <v>603000</v>
      </c>
      <c r="L74" s="46">
        <f t="shared" si="20"/>
        <v>617000</v>
      </c>
      <c r="M74" s="46">
        <f t="shared" si="20"/>
        <v>413000</v>
      </c>
      <c r="N74" s="46">
        <f t="shared" si="20"/>
        <v>701000</v>
      </c>
      <c r="O74" s="46">
        <f t="shared" si="20"/>
        <v>671000</v>
      </c>
      <c r="P74" s="46">
        <f t="shared" si="20"/>
        <v>671000</v>
      </c>
      <c r="Q74" s="46">
        <f t="shared" si="20"/>
        <v>657000</v>
      </c>
      <c r="R74" s="46">
        <f t="shared" si="20"/>
        <v>657000</v>
      </c>
      <c r="S74" s="46"/>
      <c r="T74" s="46"/>
    </row>
    <row r="75" spans="1:21" x14ac:dyDescent="0.3">
      <c r="A75" s="22">
        <v>4350</v>
      </c>
      <c r="B75" s="43" t="s">
        <v>70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spans="1:21" x14ac:dyDescent="0.3">
      <c r="A76" s="22">
        <v>4500</v>
      </c>
      <c r="B76" s="43" t="s">
        <v>248</v>
      </c>
      <c r="G76" s="46"/>
      <c r="H76" s="46"/>
      <c r="I76" s="46">
        <v>0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spans="1:21" x14ac:dyDescent="0.3">
      <c r="A77" s="22">
        <v>4501</v>
      </c>
      <c r="B77" s="43" t="s">
        <v>251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spans="1:21" x14ac:dyDescent="0.3">
      <c r="A78" s="22">
        <v>4502</v>
      </c>
      <c r="B78" s="43" t="s">
        <v>252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spans="1:21" x14ac:dyDescent="0.3">
      <c r="A79" s="22">
        <v>4503</v>
      </c>
      <c r="B79" s="43" t="s">
        <v>253</v>
      </c>
      <c r="G79" s="46"/>
      <c r="H79" s="46"/>
      <c r="I79" s="46"/>
      <c r="J79" s="46">
        <f t="shared" ref="J79:Q79" si="21">$I$101/8</f>
        <v>85697.5</v>
      </c>
      <c r="K79" s="46">
        <f t="shared" si="21"/>
        <v>85697.5</v>
      </c>
      <c r="L79" s="46">
        <f t="shared" si="21"/>
        <v>85697.5</v>
      </c>
      <c r="M79" s="46">
        <f t="shared" si="21"/>
        <v>85697.5</v>
      </c>
      <c r="N79" s="46">
        <f t="shared" si="21"/>
        <v>85697.5</v>
      </c>
      <c r="O79" s="46">
        <f t="shared" si="21"/>
        <v>85697.5</v>
      </c>
      <c r="P79" s="46">
        <f t="shared" si="21"/>
        <v>85697.5</v>
      </c>
      <c r="Q79" s="46">
        <f t="shared" si="21"/>
        <v>85697.5</v>
      </c>
      <c r="R79" s="46">
        <v>50000</v>
      </c>
      <c r="S79" s="46">
        <f t="shared" ref="S79:S86" si="22">SUM(G79:R79)</f>
        <v>735580</v>
      </c>
      <c r="T79" s="46"/>
    </row>
    <row r="80" spans="1:21" x14ac:dyDescent="0.3">
      <c r="A80" s="22">
        <v>4504</v>
      </c>
      <c r="B80" s="43" t="s">
        <v>187</v>
      </c>
      <c r="G80" s="46">
        <v>60000</v>
      </c>
      <c r="H80" s="46"/>
      <c r="I80" s="46"/>
      <c r="J80" s="46">
        <f>($G$103-60000)/8</f>
        <v>121400</v>
      </c>
      <c r="K80" s="46">
        <f t="shared" ref="K80:Q80" si="23">($G$103-60000)/8</f>
        <v>121400</v>
      </c>
      <c r="L80" s="46">
        <f t="shared" si="23"/>
        <v>121400</v>
      </c>
      <c r="M80" s="46">
        <f t="shared" si="23"/>
        <v>121400</v>
      </c>
      <c r="N80" s="46">
        <f t="shared" si="23"/>
        <v>121400</v>
      </c>
      <c r="O80" s="46">
        <f t="shared" si="23"/>
        <v>121400</v>
      </c>
      <c r="P80" s="46">
        <f t="shared" si="23"/>
        <v>121400</v>
      </c>
      <c r="Q80" s="46">
        <f t="shared" si="23"/>
        <v>121400</v>
      </c>
      <c r="R80" s="46">
        <v>50000</v>
      </c>
      <c r="S80" s="46">
        <f t="shared" si="22"/>
        <v>1081200</v>
      </c>
      <c r="T80" s="46"/>
    </row>
    <row r="81" spans="1:20" x14ac:dyDescent="0.3">
      <c r="A81" s="22">
        <v>4506</v>
      </c>
      <c r="B81" s="43" t="s">
        <v>188</v>
      </c>
      <c r="G81" s="46">
        <v>30000</v>
      </c>
      <c r="H81" s="46">
        <f>($C$103-30000)/10</f>
        <v>117900</v>
      </c>
      <c r="I81" s="46">
        <f t="shared" ref="I81:Q81" si="24">($C$103-30000)/10</f>
        <v>117900</v>
      </c>
      <c r="J81" s="46">
        <f t="shared" si="24"/>
        <v>117900</v>
      </c>
      <c r="K81" s="46">
        <f t="shared" si="24"/>
        <v>117900</v>
      </c>
      <c r="L81" s="46">
        <f t="shared" si="24"/>
        <v>117900</v>
      </c>
      <c r="M81" s="46">
        <f t="shared" si="24"/>
        <v>117900</v>
      </c>
      <c r="N81" s="46">
        <f t="shared" si="24"/>
        <v>117900</v>
      </c>
      <c r="O81" s="46">
        <f t="shared" si="24"/>
        <v>117900</v>
      </c>
      <c r="P81" s="46">
        <f t="shared" si="24"/>
        <v>117900</v>
      </c>
      <c r="Q81" s="46">
        <f t="shared" si="24"/>
        <v>117900</v>
      </c>
      <c r="R81" s="46">
        <v>50000</v>
      </c>
      <c r="S81" s="46">
        <f t="shared" si="22"/>
        <v>1259000</v>
      </c>
      <c r="T81" s="46"/>
    </row>
    <row r="82" spans="1:20" x14ac:dyDescent="0.3">
      <c r="A82" s="22">
        <v>4507</v>
      </c>
      <c r="B82" s="43" t="s">
        <v>246</v>
      </c>
      <c r="G82" s="46"/>
      <c r="H82" s="46">
        <f>$L$101/10</f>
        <v>100000</v>
      </c>
      <c r="I82" s="46">
        <f t="shared" ref="I82:Q82" si="25">$L$101/10</f>
        <v>100000</v>
      </c>
      <c r="J82" s="46">
        <f t="shared" si="25"/>
        <v>100000</v>
      </c>
      <c r="K82" s="46">
        <f t="shared" si="25"/>
        <v>100000</v>
      </c>
      <c r="L82" s="46">
        <f t="shared" si="25"/>
        <v>100000</v>
      </c>
      <c r="M82" s="46">
        <f t="shared" si="25"/>
        <v>100000</v>
      </c>
      <c r="N82" s="46">
        <f t="shared" si="25"/>
        <v>100000</v>
      </c>
      <c r="O82" s="46">
        <f t="shared" si="25"/>
        <v>100000</v>
      </c>
      <c r="P82" s="46">
        <f t="shared" si="25"/>
        <v>100000</v>
      </c>
      <c r="Q82" s="46">
        <f t="shared" si="25"/>
        <v>100000</v>
      </c>
      <c r="R82" s="46">
        <v>100000</v>
      </c>
      <c r="S82" s="46">
        <f t="shared" si="22"/>
        <v>1100000</v>
      </c>
      <c r="T82" s="46"/>
    </row>
    <row r="83" spans="1:20" x14ac:dyDescent="0.3">
      <c r="A83" s="22">
        <v>4508</v>
      </c>
      <c r="B83" s="43" t="s">
        <v>254</v>
      </c>
      <c r="G83" s="46">
        <f>H103</f>
        <v>144400</v>
      </c>
      <c r="H83" s="46"/>
      <c r="I83" s="46"/>
      <c r="J83" s="46"/>
      <c r="K83" s="46"/>
      <c r="L83" s="46"/>
      <c r="M83" s="46">
        <v>100000</v>
      </c>
      <c r="N83" s="46">
        <v>100000</v>
      </c>
      <c r="O83" s="46">
        <v>100000</v>
      </c>
      <c r="P83" s="46">
        <v>100000</v>
      </c>
      <c r="Q83" s="46">
        <v>100000</v>
      </c>
      <c r="R83" s="46">
        <v>100000</v>
      </c>
      <c r="S83" s="46">
        <f t="shared" si="22"/>
        <v>744400</v>
      </c>
      <c r="T83" s="46"/>
    </row>
    <row r="84" spans="1:20" x14ac:dyDescent="0.3">
      <c r="A84" s="22">
        <v>4510</v>
      </c>
      <c r="B84" s="43" t="s">
        <v>255</v>
      </c>
      <c r="G84" s="46"/>
      <c r="H84" s="46"/>
      <c r="I84" s="46">
        <f>$O$101/9</f>
        <v>13333.333333333334</v>
      </c>
      <c r="J84" s="46">
        <f t="shared" ref="J84:Q84" si="26">$O$101/9</f>
        <v>13333.333333333334</v>
      </c>
      <c r="K84" s="46">
        <f t="shared" si="26"/>
        <v>13333.333333333334</v>
      </c>
      <c r="L84" s="46">
        <f t="shared" si="26"/>
        <v>13333.333333333334</v>
      </c>
      <c r="M84" s="46">
        <f t="shared" si="26"/>
        <v>13333.333333333334</v>
      </c>
      <c r="N84" s="46">
        <f t="shared" si="26"/>
        <v>13333.333333333334</v>
      </c>
      <c r="O84" s="46">
        <f t="shared" si="26"/>
        <v>13333.333333333334</v>
      </c>
      <c r="P84" s="46">
        <f t="shared" si="26"/>
        <v>13333.333333333334</v>
      </c>
      <c r="Q84" s="46">
        <f t="shared" si="26"/>
        <v>13333.333333333334</v>
      </c>
      <c r="R84" s="46">
        <v>10000</v>
      </c>
      <c r="S84" s="46">
        <f t="shared" si="22"/>
        <v>129999.99999999999</v>
      </c>
      <c r="T84" s="46"/>
    </row>
    <row r="85" spans="1:20" x14ac:dyDescent="0.3">
      <c r="A85" s="22">
        <v>4511</v>
      </c>
      <c r="B85" s="43" t="s">
        <v>256</v>
      </c>
      <c r="G85" s="46"/>
      <c r="H85" s="46"/>
      <c r="I85" s="46"/>
      <c r="J85" s="46"/>
      <c r="K85" s="46">
        <f t="shared" ref="K85:Q85" si="27">$K$101/7</f>
        <v>84571.428571428565</v>
      </c>
      <c r="L85" s="46">
        <f t="shared" si="27"/>
        <v>84571.428571428565</v>
      </c>
      <c r="M85" s="46">
        <f t="shared" si="27"/>
        <v>84571.428571428565</v>
      </c>
      <c r="N85" s="46">
        <f t="shared" si="27"/>
        <v>84571.428571428565</v>
      </c>
      <c r="O85" s="46">
        <f t="shared" si="27"/>
        <v>84571.428571428565</v>
      </c>
      <c r="P85" s="46">
        <f t="shared" si="27"/>
        <v>84571.428571428565</v>
      </c>
      <c r="Q85" s="46">
        <f t="shared" si="27"/>
        <v>84571.428571428565</v>
      </c>
      <c r="R85" s="46">
        <v>50000</v>
      </c>
      <c r="S85" s="46">
        <f t="shared" si="22"/>
        <v>642000</v>
      </c>
      <c r="T85" s="46"/>
    </row>
    <row r="86" spans="1:20" x14ac:dyDescent="0.3">
      <c r="A86" s="22">
        <v>4512</v>
      </c>
      <c r="B86" s="43" t="s">
        <v>257</v>
      </c>
      <c r="G86" s="46">
        <f t="shared" ref="G86:L86" si="28">$M$103/6</f>
        <v>28666.666666666668</v>
      </c>
      <c r="H86" s="46">
        <f t="shared" si="28"/>
        <v>28666.666666666668</v>
      </c>
      <c r="I86" s="46">
        <f t="shared" si="28"/>
        <v>28666.666666666668</v>
      </c>
      <c r="J86" s="46">
        <f t="shared" si="28"/>
        <v>28666.666666666668</v>
      </c>
      <c r="K86" s="46">
        <f t="shared" si="28"/>
        <v>28666.666666666668</v>
      </c>
      <c r="L86" s="46">
        <f t="shared" si="28"/>
        <v>28666.666666666668</v>
      </c>
      <c r="M86" s="46">
        <v>20000</v>
      </c>
      <c r="N86" s="46">
        <f>M86</f>
        <v>20000</v>
      </c>
      <c r="O86" s="46">
        <f>N86</f>
        <v>20000</v>
      </c>
      <c r="P86" s="46">
        <f>O86</f>
        <v>20000</v>
      </c>
      <c r="Q86" s="46">
        <f>P86</f>
        <v>20000</v>
      </c>
      <c r="R86" s="46">
        <f>Q86</f>
        <v>20000</v>
      </c>
      <c r="S86" s="46">
        <f t="shared" si="22"/>
        <v>292000</v>
      </c>
      <c r="T86" s="46"/>
    </row>
    <row r="87" spans="1:20" x14ac:dyDescent="0.3">
      <c r="A87" s="22">
        <v>4513</v>
      </c>
      <c r="B87" s="43" t="s">
        <v>258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</row>
    <row r="88" spans="1:20" x14ac:dyDescent="0.3">
      <c r="A88" s="22">
        <v>4514</v>
      </c>
      <c r="B88" s="43" t="s">
        <v>276</v>
      </c>
      <c r="G88" s="46">
        <f>$J$101/11</f>
        <v>100177.09090909091</v>
      </c>
      <c r="H88" s="46">
        <f t="shared" ref="H88:Q88" si="29">$J$101/11</f>
        <v>100177.09090909091</v>
      </c>
      <c r="I88" s="46">
        <f t="shared" si="29"/>
        <v>100177.09090909091</v>
      </c>
      <c r="J88" s="46">
        <f t="shared" si="29"/>
        <v>100177.09090909091</v>
      </c>
      <c r="K88" s="46">
        <f t="shared" si="29"/>
        <v>100177.09090909091</v>
      </c>
      <c r="L88" s="46">
        <f t="shared" si="29"/>
        <v>100177.09090909091</v>
      </c>
      <c r="M88" s="46">
        <f t="shared" si="29"/>
        <v>100177.09090909091</v>
      </c>
      <c r="N88" s="46">
        <f t="shared" si="29"/>
        <v>100177.09090909091</v>
      </c>
      <c r="O88" s="46">
        <f t="shared" si="29"/>
        <v>100177.09090909091</v>
      </c>
      <c r="P88" s="46">
        <f t="shared" si="29"/>
        <v>100177.09090909091</v>
      </c>
      <c r="Q88" s="46">
        <f t="shared" si="29"/>
        <v>100177.09090909091</v>
      </c>
      <c r="R88" s="46">
        <v>100000</v>
      </c>
      <c r="S88" s="46">
        <f>SUM(G88:R88)</f>
        <v>1201948.0000000002</v>
      </c>
    </row>
    <row r="89" spans="1:20" x14ac:dyDescent="0.3">
      <c r="A89" s="22">
        <v>4515</v>
      </c>
      <c r="B89" s="43" t="s">
        <v>247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1:20" x14ac:dyDescent="0.3">
      <c r="A90" s="22">
        <v>4505</v>
      </c>
      <c r="B90" s="43" t="s">
        <v>71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1:20" x14ac:dyDescent="0.3">
      <c r="A91" s="22">
        <v>4509</v>
      </c>
      <c r="B91" s="43" t="s">
        <v>189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 spans="1:20" x14ac:dyDescent="0.3">
      <c r="B92" s="85" t="s">
        <v>265</v>
      </c>
      <c r="G92" s="84" t="s">
        <v>273</v>
      </c>
      <c r="H92" s="84" t="s">
        <v>274</v>
      </c>
      <c r="I92" s="84" t="s">
        <v>275</v>
      </c>
      <c r="J92" s="84" t="s">
        <v>277</v>
      </c>
      <c r="K92" s="84" t="s">
        <v>278</v>
      </c>
      <c r="L92" s="84" t="s">
        <v>279</v>
      </c>
      <c r="M92" s="84" t="s">
        <v>280</v>
      </c>
      <c r="N92" s="84" t="s">
        <v>281</v>
      </c>
      <c r="O92" s="84" t="s">
        <v>282</v>
      </c>
    </row>
    <row r="93" spans="1:20" x14ac:dyDescent="0.3">
      <c r="B93" s="85" t="s">
        <v>264</v>
      </c>
      <c r="C93" s="110">
        <v>179000</v>
      </c>
      <c r="D93" s="110"/>
      <c r="E93" s="110"/>
      <c r="F93" s="110"/>
      <c r="G93" s="111">
        <v>168600</v>
      </c>
      <c r="H93" s="111"/>
      <c r="I93" s="111">
        <v>99340</v>
      </c>
      <c r="J93" s="111"/>
      <c r="K93" s="111">
        <v>74000</v>
      </c>
      <c r="L93" s="111">
        <v>125000</v>
      </c>
      <c r="M93" s="111">
        <v>34000</v>
      </c>
      <c r="N93" s="111">
        <v>32000</v>
      </c>
      <c r="O93" s="111">
        <v>15000</v>
      </c>
    </row>
    <row r="94" spans="1:20" x14ac:dyDescent="0.3">
      <c r="B94" s="85" t="s">
        <v>266</v>
      </c>
      <c r="C94" s="110">
        <v>166000</v>
      </c>
      <c r="D94" s="110"/>
      <c r="E94" s="110"/>
      <c r="F94" s="110"/>
      <c r="G94" s="111">
        <v>133300</v>
      </c>
      <c r="H94" s="111"/>
      <c r="I94" s="111">
        <v>72055</v>
      </c>
      <c r="J94" s="111"/>
      <c r="K94" s="111">
        <v>74000</v>
      </c>
      <c r="L94" s="111">
        <v>125000</v>
      </c>
      <c r="M94" s="111">
        <v>34000</v>
      </c>
      <c r="N94" s="111">
        <v>32000</v>
      </c>
      <c r="O94" s="111">
        <v>15000</v>
      </c>
    </row>
    <row r="95" spans="1:20" x14ac:dyDescent="0.3">
      <c r="B95" s="85" t="s">
        <v>267</v>
      </c>
      <c r="C95" s="110">
        <v>193500</v>
      </c>
      <c r="D95" s="110"/>
      <c r="E95" s="110"/>
      <c r="F95" s="110"/>
      <c r="G95" s="111">
        <v>172200</v>
      </c>
      <c r="H95" s="111"/>
      <c r="I95" s="111">
        <v>99340</v>
      </c>
      <c r="J95" s="111"/>
      <c r="K95" s="111">
        <v>74000</v>
      </c>
      <c r="L95" s="111">
        <v>125000</v>
      </c>
      <c r="M95" s="111">
        <v>34000</v>
      </c>
      <c r="N95" s="111">
        <v>32000</v>
      </c>
      <c r="O95" s="111">
        <v>15000</v>
      </c>
    </row>
    <row r="96" spans="1:20" x14ac:dyDescent="0.3">
      <c r="B96" s="85" t="s">
        <v>268</v>
      </c>
      <c r="C96" s="110">
        <v>182500</v>
      </c>
      <c r="D96" s="110"/>
      <c r="E96" s="110"/>
      <c r="F96" s="110"/>
      <c r="G96" s="111">
        <v>133300</v>
      </c>
      <c r="H96" s="111"/>
      <c r="I96" s="111">
        <v>72055</v>
      </c>
      <c r="J96" s="111"/>
      <c r="K96" s="111">
        <v>74000</v>
      </c>
      <c r="L96" s="111">
        <v>125000</v>
      </c>
      <c r="M96" s="111">
        <v>34000</v>
      </c>
      <c r="N96" s="111">
        <v>32000</v>
      </c>
      <c r="O96" s="111">
        <v>15000</v>
      </c>
    </row>
    <row r="97" spans="1:15" x14ac:dyDescent="0.3">
      <c r="B97" s="85" t="s">
        <v>269</v>
      </c>
      <c r="C97" s="110">
        <v>182500</v>
      </c>
      <c r="D97" s="110"/>
      <c r="E97" s="110"/>
      <c r="F97" s="110"/>
      <c r="G97" s="111">
        <v>133300</v>
      </c>
      <c r="H97" s="111"/>
      <c r="I97" s="111">
        <v>72055</v>
      </c>
      <c r="J97" s="111"/>
      <c r="K97" s="111">
        <v>74000</v>
      </c>
      <c r="L97" s="111">
        <v>125000</v>
      </c>
      <c r="M97" s="111">
        <v>34000</v>
      </c>
      <c r="N97" s="111">
        <v>32000</v>
      </c>
      <c r="O97" s="111">
        <v>15000</v>
      </c>
    </row>
    <row r="98" spans="1:15" x14ac:dyDescent="0.3">
      <c r="B98" s="85" t="s">
        <v>270</v>
      </c>
      <c r="C98" s="110">
        <v>182500</v>
      </c>
      <c r="D98" s="110"/>
      <c r="E98" s="110"/>
      <c r="F98" s="110"/>
      <c r="G98" s="111">
        <v>133300</v>
      </c>
      <c r="H98" s="111"/>
      <c r="I98" s="111">
        <v>72055</v>
      </c>
      <c r="J98" s="111"/>
      <c r="K98" s="111">
        <v>74000</v>
      </c>
      <c r="L98" s="111">
        <v>125000</v>
      </c>
      <c r="M98" s="111">
        <v>34000</v>
      </c>
      <c r="N98" s="111">
        <v>32000</v>
      </c>
      <c r="O98" s="111">
        <v>15000</v>
      </c>
    </row>
    <row r="99" spans="1:15" x14ac:dyDescent="0.3">
      <c r="B99" s="85" t="s">
        <v>271</v>
      </c>
      <c r="C99" s="110">
        <v>179000</v>
      </c>
      <c r="D99" s="110"/>
      <c r="E99" s="110"/>
      <c r="F99" s="110"/>
      <c r="G99" s="111">
        <v>168600</v>
      </c>
      <c r="H99" s="111">
        <f>(268000+15000)</f>
        <v>283000</v>
      </c>
      <c r="I99" s="111">
        <v>99340</v>
      </c>
      <c r="J99" s="111"/>
      <c r="K99" s="111">
        <v>74000</v>
      </c>
      <c r="L99" s="111">
        <v>125000</v>
      </c>
      <c r="M99" s="111">
        <v>34000</v>
      </c>
      <c r="N99" s="111">
        <v>32000</v>
      </c>
      <c r="O99" s="111">
        <v>15000</v>
      </c>
    </row>
    <row r="100" spans="1:15" x14ac:dyDescent="0.3">
      <c r="B100" s="85" t="s">
        <v>272</v>
      </c>
      <c r="C100" s="110">
        <v>179000</v>
      </c>
      <c r="D100" s="110"/>
      <c r="E100" s="110"/>
      <c r="F100" s="110"/>
      <c r="G100" s="111">
        <v>168600</v>
      </c>
      <c r="H100" s="111">
        <f>(268000+15000)</f>
        <v>283000</v>
      </c>
      <c r="I100" s="111">
        <v>99340</v>
      </c>
      <c r="J100" s="111"/>
      <c r="K100" s="111">
        <v>74000</v>
      </c>
      <c r="L100" s="111">
        <v>125000</v>
      </c>
      <c r="M100" s="111">
        <v>34000</v>
      </c>
      <c r="N100" s="111">
        <v>32000</v>
      </c>
      <c r="O100" s="111">
        <v>15000</v>
      </c>
    </row>
    <row r="101" spans="1:15" x14ac:dyDescent="0.3">
      <c r="C101" s="110">
        <f>SUM(C93:C100)</f>
        <v>1444000</v>
      </c>
      <c r="D101" s="110"/>
      <c r="E101" s="110"/>
      <c r="F101" s="110"/>
      <c r="G101" s="110">
        <f>SUM(G93:G100)</f>
        <v>1211200</v>
      </c>
      <c r="H101" s="110">
        <f>SUM(H93:H100)</f>
        <v>566000</v>
      </c>
      <c r="I101" s="113">
        <f>SUM(I93:I100)</f>
        <v>685580</v>
      </c>
      <c r="J101" s="113">
        <f>798842+303106</f>
        <v>1101948</v>
      </c>
      <c r="K101" s="113">
        <f>SUM(K93:K100)</f>
        <v>592000</v>
      </c>
      <c r="L101" s="113">
        <f>SUM(L93:L100)</f>
        <v>1000000</v>
      </c>
      <c r="M101" s="110">
        <f>SUM(M93:M100)</f>
        <v>272000</v>
      </c>
      <c r="N101" s="110">
        <f>SUM(N93:N100)</f>
        <v>256000</v>
      </c>
      <c r="O101" s="113">
        <f>SUM(O93:O100)</f>
        <v>120000</v>
      </c>
    </row>
    <row r="102" spans="1:15" x14ac:dyDescent="0.3">
      <c r="C102" s="111">
        <v>235000</v>
      </c>
      <c r="G102" s="111">
        <v>180000</v>
      </c>
      <c r="M102" s="111">
        <v>100000</v>
      </c>
    </row>
    <row r="103" spans="1:15" x14ac:dyDescent="0.3">
      <c r="C103" s="112">
        <f>C101-C102</f>
        <v>1209000</v>
      </c>
      <c r="G103" s="112">
        <f>G101-G102</f>
        <v>1031200</v>
      </c>
      <c r="H103" s="112">
        <v>144400</v>
      </c>
      <c r="M103" s="112">
        <f>M101-M102</f>
        <v>172000</v>
      </c>
    </row>
    <row r="109" spans="1:15" x14ac:dyDescent="0.3">
      <c r="B109" s="85" t="s">
        <v>293</v>
      </c>
      <c r="C109" s="36" t="s">
        <v>294</v>
      </c>
    </row>
    <row r="110" spans="1:15" x14ac:dyDescent="0.3">
      <c r="A110" t="s">
        <v>290</v>
      </c>
      <c r="B110" s="85">
        <v>20000</v>
      </c>
      <c r="C110" s="36">
        <v>5000</v>
      </c>
    </row>
    <row r="111" spans="1:15" x14ac:dyDescent="0.3">
      <c r="A111" t="s">
        <v>291</v>
      </c>
      <c r="B111" s="85">
        <v>5000</v>
      </c>
      <c r="C111" s="36">
        <v>5000</v>
      </c>
    </row>
    <row r="112" spans="1:15" x14ac:dyDescent="0.3">
      <c r="A112" t="s">
        <v>189</v>
      </c>
      <c r="B112" s="85">
        <v>16000</v>
      </c>
      <c r="C112" s="36">
        <v>10000</v>
      </c>
    </row>
    <row r="113" spans="1:7" x14ac:dyDescent="0.3">
      <c r="A113" t="s">
        <v>292</v>
      </c>
      <c r="B113" s="85">
        <v>69200</v>
      </c>
      <c r="C113" s="36">
        <v>5000</v>
      </c>
    </row>
    <row r="114" spans="1:7" x14ac:dyDescent="0.3">
      <c r="B114" s="85">
        <f>SUM(B110:B113)</f>
        <v>110200</v>
      </c>
      <c r="C114" s="85">
        <f>SUM(C110:C113)</f>
        <v>25000</v>
      </c>
    </row>
    <row r="116" spans="1:7" x14ac:dyDescent="0.3">
      <c r="A116" t="s">
        <v>295</v>
      </c>
      <c r="B116" s="85">
        <f>44000+38000</f>
        <v>82000</v>
      </c>
    </row>
    <row r="117" spans="1:7" x14ac:dyDescent="0.3">
      <c r="A117" t="s">
        <v>278</v>
      </c>
      <c r="B117" s="85">
        <v>83000</v>
      </c>
    </row>
    <row r="118" spans="1:7" x14ac:dyDescent="0.3">
      <c r="A118" t="s">
        <v>296</v>
      </c>
      <c r="B118" s="85">
        <v>8000</v>
      </c>
    </row>
    <row r="119" spans="1:7" x14ac:dyDescent="0.3">
      <c r="A119" t="s">
        <v>161</v>
      </c>
      <c r="B119" s="85">
        <v>29000</v>
      </c>
    </row>
    <row r="123" spans="1:7" x14ac:dyDescent="0.3">
      <c r="A123" t="s">
        <v>297</v>
      </c>
      <c r="B123" s="85">
        <v>56700</v>
      </c>
      <c r="G123" s="89" t="e">
        <f>(SUM(B123:B124))/T63</f>
        <v>#DIV/0!</v>
      </c>
    </row>
    <row r="124" spans="1:7" x14ac:dyDescent="0.3">
      <c r="A124" t="s">
        <v>298</v>
      </c>
      <c r="B124" s="85">
        <v>925600</v>
      </c>
    </row>
    <row r="125" spans="1:7" x14ac:dyDescent="0.3">
      <c r="A125" t="s">
        <v>299</v>
      </c>
      <c r="B125" s="85">
        <v>1594</v>
      </c>
      <c r="C125" s="116" t="s">
        <v>300</v>
      </c>
    </row>
    <row r="129" spans="1:3" x14ac:dyDescent="0.3">
      <c r="A129" t="s">
        <v>301</v>
      </c>
      <c r="B129" s="85" t="s">
        <v>305</v>
      </c>
      <c r="C129" s="36">
        <v>1281</v>
      </c>
    </row>
    <row r="130" spans="1:3" x14ac:dyDescent="0.3">
      <c r="B130" s="85" t="s">
        <v>304</v>
      </c>
      <c r="C130" s="36">
        <v>31</v>
      </c>
    </row>
    <row r="131" spans="1:3" x14ac:dyDescent="0.3">
      <c r="B131" s="85" t="s">
        <v>303</v>
      </c>
      <c r="C131" s="36">
        <v>283</v>
      </c>
    </row>
    <row r="132" spans="1:3" x14ac:dyDescent="0.3">
      <c r="B132" s="85" t="s">
        <v>302</v>
      </c>
      <c r="C132" s="36">
        <v>34</v>
      </c>
    </row>
    <row r="137" spans="1:3" x14ac:dyDescent="0.3">
      <c r="A137" s="84" t="s">
        <v>310</v>
      </c>
    </row>
    <row r="138" spans="1:3" x14ac:dyDescent="0.3">
      <c r="A138" t="s">
        <v>306</v>
      </c>
      <c r="C138" s="36" t="s">
        <v>281</v>
      </c>
    </row>
    <row r="139" spans="1:3" x14ac:dyDescent="0.3">
      <c r="A139" t="s">
        <v>307</v>
      </c>
      <c r="B139" s="85">
        <v>570930</v>
      </c>
      <c r="C139" s="36">
        <v>32000</v>
      </c>
    </row>
    <row r="140" spans="1:3" x14ac:dyDescent="0.3">
      <c r="A140" t="s">
        <v>303</v>
      </c>
      <c r="B140" s="85">
        <v>166300</v>
      </c>
      <c r="C140" s="36">
        <v>2000</v>
      </c>
    </row>
    <row r="141" spans="1:3" x14ac:dyDescent="0.3">
      <c r="A141" t="s">
        <v>308</v>
      </c>
      <c r="B141" s="85">
        <v>10000</v>
      </c>
    </row>
    <row r="142" spans="1:3" x14ac:dyDescent="0.3">
      <c r="B142" s="85">
        <f>SUM(B139:B141)</f>
        <v>747230</v>
      </c>
      <c r="C142" s="85">
        <f>SUM(C139:C141)</f>
        <v>34000</v>
      </c>
    </row>
    <row r="143" spans="1:3" x14ac:dyDescent="0.3">
      <c r="A143" s="84" t="s">
        <v>309</v>
      </c>
      <c r="C143" s="117">
        <f>SUM(B142:C142)</f>
        <v>781230</v>
      </c>
    </row>
    <row r="146" spans="1:12" x14ac:dyDescent="0.3">
      <c r="A146" s="84" t="s">
        <v>311</v>
      </c>
    </row>
    <row r="147" spans="1:12" x14ac:dyDescent="0.3">
      <c r="A147" s="84" t="s">
        <v>306</v>
      </c>
      <c r="C147" s="36">
        <v>2550000</v>
      </c>
      <c r="E147" s="48" t="s">
        <v>234</v>
      </c>
      <c r="G147">
        <v>144000</v>
      </c>
      <c r="I147" s="84" t="s">
        <v>313</v>
      </c>
      <c r="J147">
        <v>22000</v>
      </c>
      <c r="K147" s="84" t="s">
        <v>314</v>
      </c>
      <c r="L147">
        <v>146000</v>
      </c>
    </row>
    <row r="149" spans="1:12" x14ac:dyDescent="0.3">
      <c r="B149" s="85" t="s">
        <v>293</v>
      </c>
      <c r="C149" s="36" t="s">
        <v>294</v>
      </c>
    </row>
    <row r="150" spans="1:12" x14ac:dyDescent="0.3">
      <c r="A150" t="s">
        <v>290</v>
      </c>
      <c r="B150" s="85">
        <v>55000</v>
      </c>
      <c r="C150" s="36">
        <v>10000</v>
      </c>
    </row>
    <row r="151" spans="1:12" x14ac:dyDescent="0.3">
      <c r="A151" t="s">
        <v>291</v>
      </c>
      <c r="B151" s="85">
        <v>5000</v>
      </c>
      <c r="C151" s="36">
        <v>55000</v>
      </c>
    </row>
    <row r="152" spans="1:12" x14ac:dyDescent="0.3">
      <c r="A152" t="s">
        <v>189</v>
      </c>
      <c r="B152" s="85">
        <v>16000</v>
      </c>
      <c r="C152" s="36">
        <v>20000</v>
      </c>
    </row>
    <row r="153" spans="1:12" x14ac:dyDescent="0.3">
      <c r="A153" t="s">
        <v>292</v>
      </c>
      <c r="B153" s="85">
        <v>140000</v>
      </c>
      <c r="C153" s="36">
        <v>10000</v>
      </c>
    </row>
    <row r="154" spans="1:12" x14ac:dyDescent="0.3">
      <c r="B154" s="85">
        <f>SUM(B150:B153)</f>
        <v>216000</v>
      </c>
      <c r="C154" s="85">
        <f>SUM(C150:C153)</f>
        <v>95000</v>
      </c>
    </row>
    <row r="156" spans="1:12" x14ac:dyDescent="0.3">
      <c r="A156" s="84" t="s">
        <v>312</v>
      </c>
      <c r="C156" s="36">
        <v>74000</v>
      </c>
    </row>
    <row r="157" spans="1:12" x14ac:dyDescent="0.3">
      <c r="A157" s="84" t="s">
        <v>265</v>
      </c>
      <c r="C157" s="36">
        <v>54000</v>
      </c>
    </row>
    <row r="158" spans="1:12" x14ac:dyDescent="0.3">
      <c r="A158" s="84" t="s">
        <v>315</v>
      </c>
      <c r="C158" s="36">
        <v>700000</v>
      </c>
    </row>
    <row r="159" spans="1:12" x14ac:dyDescent="0.3">
      <c r="A159" s="84" t="s">
        <v>279</v>
      </c>
      <c r="C159" s="36">
        <v>160000</v>
      </c>
    </row>
  </sheetData>
  <pageMargins left="0.23622047244094491" right="0.23622047244094491" top="0.74803149606299213" bottom="0.74803149606299213" header="0.31496062992125984" footer="0.31496062992125984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EFC5-3509-4064-9DA6-73F749A5939B}">
  <dimension ref="A1:Q28"/>
  <sheetViews>
    <sheetView topLeftCell="A2" zoomScale="160" zoomScaleNormal="160" workbookViewId="0">
      <selection activeCell="D9" sqref="D9"/>
    </sheetView>
  </sheetViews>
  <sheetFormatPr baseColWidth="10" defaultRowHeight="12.45" x14ac:dyDescent="0.3"/>
  <cols>
    <col min="1" max="2" width="18.84375" customWidth="1"/>
    <col min="3" max="15" width="11.23046875" customWidth="1"/>
    <col min="16" max="16" width="13" bestFit="1" customWidth="1"/>
  </cols>
  <sheetData>
    <row r="1" spans="1:17" ht="25.85" customHeight="1" x14ac:dyDescent="0.3"/>
    <row r="2" spans="1:17" ht="25.85" customHeight="1" x14ac:dyDescent="0.3"/>
    <row r="3" spans="1:17" s="7" customFormat="1" ht="25.85" customHeight="1" x14ac:dyDescent="0.3">
      <c r="A3" s="138"/>
      <c r="B3" s="138">
        <v>2019</v>
      </c>
      <c r="C3" s="138" t="s">
        <v>326</v>
      </c>
      <c r="D3" s="138" t="s">
        <v>25</v>
      </c>
      <c r="E3" s="138" t="s">
        <v>35</v>
      </c>
      <c r="F3" s="138" t="s">
        <v>26</v>
      </c>
      <c r="G3" s="138" t="s">
        <v>27</v>
      </c>
      <c r="H3" s="138" t="s">
        <v>2</v>
      </c>
      <c r="I3" s="138" t="s">
        <v>28</v>
      </c>
      <c r="J3" s="138" t="s">
        <v>29</v>
      </c>
      <c r="K3" s="138" t="s">
        <v>30</v>
      </c>
      <c r="L3" s="138" t="s">
        <v>31</v>
      </c>
      <c r="M3" s="138" t="s">
        <v>32</v>
      </c>
      <c r="N3" s="138" t="s">
        <v>33</v>
      </c>
      <c r="O3" s="138" t="s">
        <v>34</v>
      </c>
    </row>
    <row r="4" spans="1:17" ht="25.85" customHeight="1" x14ac:dyDescent="0.3">
      <c r="A4" s="139" t="s">
        <v>334</v>
      </c>
      <c r="B4" s="140">
        <v>16150000</v>
      </c>
      <c r="C4" s="140">
        <f t="shared" ref="C4:C13" si="0">SUM(D4:O4)</f>
        <v>16700000</v>
      </c>
      <c r="D4" s="140">
        <v>1350000</v>
      </c>
      <c r="E4" s="140">
        <v>1750000</v>
      </c>
      <c r="F4" s="140">
        <v>1800000</v>
      </c>
      <c r="G4" s="140">
        <v>1600000</v>
      </c>
      <c r="H4" s="140">
        <v>1700000</v>
      </c>
      <c r="I4" s="140">
        <v>1800000</v>
      </c>
      <c r="J4" s="140">
        <v>1500000</v>
      </c>
      <c r="K4" s="140">
        <v>1800000</v>
      </c>
      <c r="L4" s="140">
        <v>1700000</v>
      </c>
      <c r="M4" s="140">
        <v>1700000</v>
      </c>
      <c r="N4" s="141"/>
      <c r="O4" s="141"/>
    </row>
    <row r="5" spans="1:17" ht="25.85" customHeight="1" x14ac:dyDescent="0.3">
      <c r="A5" s="139" t="s">
        <v>399</v>
      </c>
      <c r="B5" s="140">
        <f>A21-B4</f>
        <v>727207.10000000149</v>
      </c>
      <c r="C5" s="140">
        <f t="shared" si="0"/>
        <v>751500</v>
      </c>
      <c r="D5" s="140">
        <f>D4*0.045</f>
        <v>60750</v>
      </c>
      <c r="E5" s="140">
        <f t="shared" ref="E5:M5" si="1">E4*0.045</f>
        <v>78750</v>
      </c>
      <c r="F5" s="140">
        <f t="shared" si="1"/>
        <v>81000</v>
      </c>
      <c r="G5" s="140">
        <f t="shared" si="1"/>
        <v>72000</v>
      </c>
      <c r="H5" s="140">
        <f t="shared" si="1"/>
        <v>76500</v>
      </c>
      <c r="I5" s="140">
        <f t="shared" si="1"/>
        <v>81000</v>
      </c>
      <c r="J5" s="140">
        <f t="shared" si="1"/>
        <v>67500</v>
      </c>
      <c r="K5" s="140">
        <f t="shared" si="1"/>
        <v>81000</v>
      </c>
      <c r="L5" s="140">
        <f t="shared" si="1"/>
        <v>76500</v>
      </c>
      <c r="M5" s="140">
        <f t="shared" si="1"/>
        <v>76500</v>
      </c>
      <c r="N5" s="140"/>
      <c r="O5" s="140"/>
    </row>
    <row r="6" spans="1:17" ht="25.85" customHeight="1" x14ac:dyDescent="0.3">
      <c r="A6" s="139" t="s">
        <v>400</v>
      </c>
      <c r="B6" s="147">
        <v>1350000</v>
      </c>
      <c r="C6" s="140">
        <f t="shared" si="0"/>
        <v>1239624</v>
      </c>
      <c r="D6" s="149">
        <v>230000</v>
      </c>
      <c r="E6" s="149">
        <v>380000</v>
      </c>
      <c r="F6" s="149">
        <v>200000</v>
      </c>
      <c r="G6" s="149">
        <v>280000</v>
      </c>
      <c r="H6" s="140">
        <v>149624</v>
      </c>
      <c r="I6" s="140"/>
      <c r="J6" s="140"/>
      <c r="K6" s="140"/>
      <c r="L6" s="140"/>
      <c r="M6" s="140"/>
      <c r="N6" s="140"/>
      <c r="O6" s="140"/>
      <c r="P6" s="148">
        <v>2589624</v>
      </c>
      <c r="Q6" s="128">
        <f>P6-B6</f>
        <v>1239624</v>
      </c>
    </row>
    <row r="7" spans="1:17" ht="25.85" customHeight="1" x14ac:dyDescent="0.3">
      <c r="A7" s="139" t="s">
        <v>401</v>
      </c>
      <c r="B7" s="140">
        <v>900000</v>
      </c>
      <c r="C7" s="140">
        <f t="shared" si="0"/>
        <v>1970357</v>
      </c>
      <c r="D7" s="149">
        <v>280000</v>
      </c>
      <c r="E7" s="149">
        <v>410000</v>
      </c>
      <c r="F7" s="149">
        <v>400000</v>
      </c>
      <c r="G7" s="149">
        <v>100000</v>
      </c>
      <c r="H7" s="142">
        <v>200000</v>
      </c>
      <c r="I7" s="142">
        <v>250000</v>
      </c>
      <c r="J7" s="142">
        <v>150000</v>
      </c>
      <c r="K7" s="142">
        <f>330357-150000</f>
        <v>180357</v>
      </c>
      <c r="L7" s="140"/>
      <c r="M7" s="140"/>
      <c r="N7" s="140"/>
      <c r="O7" s="140"/>
      <c r="P7">
        <v>2870357</v>
      </c>
      <c r="Q7" s="128">
        <f>P7-B7</f>
        <v>1970357</v>
      </c>
    </row>
    <row r="8" spans="1:17" ht="25.85" customHeight="1" x14ac:dyDescent="0.3">
      <c r="A8" s="139" t="s">
        <v>402</v>
      </c>
      <c r="B8" s="140">
        <v>3760902.3</v>
      </c>
      <c r="C8" s="140">
        <f t="shared" si="0"/>
        <v>4097084</v>
      </c>
      <c r="D8" s="149">
        <v>400140</v>
      </c>
      <c r="E8" s="140">
        <v>700000</v>
      </c>
      <c r="F8" s="140">
        <v>750000</v>
      </c>
      <c r="G8" s="140">
        <f>F8</f>
        <v>750000</v>
      </c>
      <c r="H8" s="140">
        <v>800000</v>
      </c>
      <c r="I8" s="140">
        <v>696944</v>
      </c>
      <c r="J8" s="140"/>
      <c r="K8" s="140"/>
      <c r="L8" s="140"/>
      <c r="M8" s="140"/>
      <c r="N8" s="140"/>
      <c r="O8" s="140"/>
      <c r="P8">
        <v>7857985.9999999991</v>
      </c>
      <c r="Q8" s="128">
        <f>P8-B8</f>
        <v>4097083.6999999993</v>
      </c>
    </row>
    <row r="9" spans="1:17" ht="25.85" customHeight="1" x14ac:dyDescent="0.3">
      <c r="A9" s="139" t="s">
        <v>404</v>
      </c>
      <c r="B9" s="140"/>
      <c r="C9" s="140">
        <f t="shared" si="0"/>
        <v>6200000</v>
      </c>
      <c r="D9" s="140"/>
      <c r="E9" s="140"/>
      <c r="F9" s="140"/>
      <c r="G9" s="140"/>
      <c r="H9" s="140">
        <v>500000</v>
      </c>
      <c r="I9" s="140">
        <f>H9</f>
        <v>500000</v>
      </c>
      <c r="J9" s="140">
        <v>400000</v>
      </c>
      <c r="K9" s="140">
        <v>800000</v>
      </c>
      <c r="L9" s="140">
        <v>1000000</v>
      </c>
      <c r="M9" s="140">
        <f>L9</f>
        <v>1000000</v>
      </c>
      <c r="N9" s="140">
        <f>M9</f>
        <v>1000000</v>
      </c>
      <c r="O9" s="140">
        <f>N9</f>
        <v>1000000</v>
      </c>
    </row>
    <row r="10" spans="1:17" ht="25.85" customHeight="1" x14ac:dyDescent="0.3">
      <c r="A10" s="139" t="s">
        <v>403</v>
      </c>
      <c r="B10" s="140">
        <v>14900000</v>
      </c>
      <c r="C10" s="140">
        <f t="shared" si="0"/>
        <v>3600000</v>
      </c>
      <c r="D10" s="140">
        <v>200000</v>
      </c>
      <c r="E10" s="140">
        <f>D10</f>
        <v>200000</v>
      </c>
      <c r="F10" s="140">
        <v>400000</v>
      </c>
      <c r="G10" s="140">
        <f t="shared" ref="G10:O10" si="2">F10</f>
        <v>400000</v>
      </c>
      <c r="H10" s="140">
        <f t="shared" si="2"/>
        <v>400000</v>
      </c>
      <c r="I10" s="140">
        <f t="shared" si="2"/>
        <v>400000</v>
      </c>
      <c r="J10" s="140">
        <v>0</v>
      </c>
      <c r="K10" s="140">
        <v>400000</v>
      </c>
      <c r="L10" s="140">
        <f t="shared" si="2"/>
        <v>400000</v>
      </c>
      <c r="M10" s="140">
        <f t="shared" si="2"/>
        <v>400000</v>
      </c>
      <c r="N10" s="140">
        <v>200000</v>
      </c>
      <c r="O10" s="140">
        <f t="shared" si="2"/>
        <v>200000</v>
      </c>
    </row>
    <row r="11" spans="1:17" ht="25.85" customHeight="1" x14ac:dyDescent="0.3">
      <c r="A11" s="144" t="s">
        <v>405</v>
      </c>
      <c r="B11" s="143"/>
      <c r="C11" s="140">
        <f t="shared" si="0"/>
        <v>1400000</v>
      </c>
      <c r="D11" s="143"/>
      <c r="E11" s="143"/>
      <c r="F11" s="143"/>
      <c r="G11" s="143"/>
      <c r="H11" s="143">
        <v>200000</v>
      </c>
      <c r="I11" s="143">
        <v>600000</v>
      </c>
      <c r="J11" s="143">
        <v>600000</v>
      </c>
      <c r="K11" s="143"/>
      <c r="L11" s="143"/>
      <c r="M11" s="143"/>
      <c r="N11" s="143"/>
      <c r="O11" s="143"/>
    </row>
    <row r="12" spans="1:17" ht="25.85" customHeight="1" x14ac:dyDescent="0.3">
      <c r="A12" s="144" t="s">
        <v>406</v>
      </c>
      <c r="B12" s="143"/>
      <c r="C12" s="140">
        <f t="shared" si="0"/>
        <v>1800000</v>
      </c>
      <c r="D12" s="143">
        <v>150000</v>
      </c>
      <c r="E12" s="143">
        <f>D12</f>
        <v>150000</v>
      </c>
      <c r="F12" s="143">
        <f t="shared" ref="F12:O12" si="3">E12</f>
        <v>150000</v>
      </c>
      <c r="G12" s="143">
        <f t="shared" si="3"/>
        <v>150000</v>
      </c>
      <c r="H12" s="143">
        <f t="shared" si="3"/>
        <v>150000</v>
      </c>
      <c r="I12" s="143">
        <f t="shared" si="3"/>
        <v>150000</v>
      </c>
      <c r="J12" s="143">
        <f t="shared" si="3"/>
        <v>150000</v>
      </c>
      <c r="K12" s="143">
        <f t="shared" si="3"/>
        <v>150000</v>
      </c>
      <c r="L12" s="143">
        <f t="shared" si="3"/>
        <v>150000</v>
      </c>
      <c r="M12" s="143">
        <f t="shared" si="3"/>
        <v>150000</v>
      </c>
      <c r="N12" s="143">
        <f t="shared" si="3"/>
        <v>150000</v>
      </c>
      <c r="O12" s="143">
        <f t="shared" si="3"/>
        <v>150000</v>
      </c>
    </row>
    <row r="13" spans="1:17" ht="25.85" customHeight="1" x14ac:dyDescent="0.3">
      <c r="A13" s="144" t="s">
        <v>407</v>
      </c>
      <c r="B13" s="143"/>
      <c r="C13" s="140">
        <f t="shared" si="0"/>
        <v>1000000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>
        <v>500000</v>
      </c>
      <c r="O13" s="143">
        <v>500000</v>
      </c>
    </row>
    <row r="14" spans="1:17" ht="25.85" customHeight="1" x14ac:dyDescent="0.3">
      <c r="A14" s="84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</row>
    <row r="15" spans="1:17" ht="25.85" customHeight="1" x14ac:dyDescent="0.3">
      <c r="A15" s="84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</row>
    <row r="17" spans="1:15" x14ac:dyDescent="0.3">
      <c r="C17" s="140">
        <f>SUM(D17:O17)</f>
        <v>38758565</v>
      </c>
      <c r="D17" s="128">
        <f>SUM(D4:D16)</f>
        <v>2670890</v>
      </c>
      <c r="E17" s="128">
        <f t="shared" ref="E17:O17" si="4">SUM(E4:E16)</f>
        <v>3668750</v>
      </c>
      <c r="F17" s="128">
        <f t="shared" si="4"/>
        <v>3781000</v>
      </c>
      <c r="G17" s="128">
        <f t="shared" si="4"/>
        <v>3352000</v>
      </c>
      <c r="H17" s="128">
        <f t="shared" si="4"/>
        <v>4176124</v>
      </c>
      <c r="I17" s="128">
        <f t="shared" si="4"/>
        <v>4477944</v>
      </c>
      <c r="J17" s="128">
        <f t="shared" si="4"/>
        <v>2867500</v>
      </c>
      <c r="K17" s="128">
        <f t="shared" si="4"/>
        <v>3411357</v>
      </c>
      <c r="L17" s="128">
        <f t="shared" si="4"/>
        <v>3326500</v>
      </c>
      <c r="M17" s="128">
        <f t="shared" si="4"/>
        <v>3326500</v>
      </c>
      <c r="N17" s="128">
        <f t="shared" si="4"/>
        <v>1850000</v>
      </c>
      <c r="O17" s="128">
        <f t="shared" si="4"/>
        <v>1850000</v>
      </c>
    </row>
    <row r="18" spans="1:15" x14ac:dyDescent="0.3">
      <c r="B18" s="128">
        <f>B4*4.5%</f>
        <v>726750</v>
      </c>
    </row>
    <row r="21" spans="1:15" x14ac:dyDescent="0.3">
      <c r="A21" s="137">
        <v>16877207.100000001</v>
      </c>
    </row>
    <row r="23" spans="1:15" x14ac:dyDescent="0.3">
      <c r="A23">
        <f>A21/B4</f>
        <v>1.045028303405573</v>
      </c>
    </row>
    <row r="26" spans="1:15" x14ac:dyDescent="0.3">
      <c r="E26">
        <f>537500/1.25</f>
        <v>430000</v>
      </c>
    </row>
    <row r="27" spans="1:15" x14ac:dyDescent="0.3">
      <c r="E27" s="128">
        <f>SUM(D7:G7)</f>
        <v>1190000</v>
      </c>
    </row>
    <row r="28" spans="1:15" x14ac:dyDescent="0.3">
      <c r="E28" s="128">
        <f>SUM(E25:E27)</f>
        <v>1620000</v>
      </c>
      <c r="F28" s="128">
        <f>E28*1.25</f>
        <v>2025000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8D7C-B077-40C7-9AFB-8E7405FF535E}">
  <dimension ref="A6:E16"/>
  <sheetViews>
    <sheetView topLeftCell="A19" workbookViewId="0">
      <selection activeCell="E16" sqref="E16"/>
    </sheetView>
  </sheetViews>
  <sheetFormatPr baseColWidth="10" defaultRowHeight="12.45" x14ac:dyDescent="0.3"/>
  <cols>
    <col min="1" max="1" width="27.765625" customWidth="1"/>
    <col min="2" max="2" width="19.3046875" style="90" customWidth="1"/>
    <col min="3" max="3" width="14" style="135" bestFit="1" customWidth="1"/>
    <col min="5" max="5" width="14" bestFit="1" customWidth="1"/>
  </cols>
  <sheetData>
    <row r="6" spans="1:5" x14ac:dyDescent="0.3">
      <c r="A6" t="s">
        <v>334</v>
      </c>
      <c r="B6" s="90">
        <v>16150000</v>
      </c>
      <c r="C6" s="136">
        <f>16700000+700000</f>
        <v>17400000</v>
      </c>
      <c r="D6" s="84" t="s">
        <v>410</v>
      </c>
      <c r="E6" s="128">
        <f>C6</f>
        <v>17400000</v>
      </c>
    </row>
    <row r="7" spans="1:5" x14ac:dyDescent="0.3">
      <c r="A7" t="s">
        <v>400</v>
      </c>
      <c r="B7" s="90">
        <v>1350000</v>
      </c>
      <c r="C7" s="136">
        <v>1240000</v>
      </c>
      <c r="D7" s="84" t="s">
        <v>410</v>
      </c>
      <c r="E7" s="128">
        <f>C7</f>
        <v>1240000</v>
      </c>
    </row>
    <row r="8" spans="1:5" x14ac:dyDescent="0.3">
      <c r="A8" t="s">
        <v>401</v>
      </c>
      <c r="B8" s="90">
        <v>900000</v>
      </c>
      <c r="C8" s="136">
        <v>1970000</v>
      </c>
      <c r="D8" s="84" t="s">
        <v>410</v>
      </c>
      <c r="E8" s="128">
        <f>C8</f>
        <v>1970000</v>
      </c>
    </row>
    <row r="9" spans="1:5" x14ac:dyDescent="0.3">
      <c r="A9" t="s">
        <v>402</v>
      </c>
      <c r="B9" s="90">
        <v>3760902.3</v>
      </c>
      <c r="C9" s="136">
        <v>4100000</v>
      </c>
      <c r="D9" s="84" t="s">
        <v>410</v>
      </c>
      <c r="E9" s="128">
        <f>C9</f>
        <v>4100000</v>
      </c>
    </row>
    <row r="10" spans="1:5" x14ac:dyDescent="0.3">
      <c r="A10" t="s">
        <v>404</v>
      </c>
      <c r="C10" s="136">
        <v>6200000</v>
      </c>
      <c r="E10" s="128">
        <f>C10</f>
        <v>6200000</v>
      </c>
    </row>
    <row r="11" spans="1:5" x14ac:dyDescent="0.3">
      <c r="A11" t="s">
        <v>403</v>
      </c>
      <c r="B11" s="90">
        <v>14900000</v>
      </c>
      <c r="C11" s="136">
        <f>B11*0.6</f>
        <v>8940000</v>
      </c>
      <c r="E11" s="128">
        <f>B11*0.75</f>
        <v>11175000</v>
      </c>
    </row>
    <row r="12" spans="1:5" x14ac:dyDescent="0.3">
      <c r="A12" t="s">
        <v>405</v>
      </c>
      <c r="C12" s="136">
        <v>1400000</v>
      </c>
      <c r="D12" s="84" t="s">
        <v>410</v>
      </c>
      <c r="E12" s="128">
        <f>C12</f>
        <v>1400000</v>
      </c>
    </row>
    <row r="13" spans="1:5" x14ac:dyDescent="0.3">
      <c r="A13" t="s">
        <v>406</v>
      </c>
      <c r="C13" s="136">
        <f>11*200000</f>
        <v>2200000</v>
      </c>
      <c r="E13" s="128">
        <f>C13</f>
        <v>2200000</v>
      </c>
    </row>
    <row r="14" spans="1:5" x14ac:dyDescent="0.3">
      <c r="A14" t="s">
        <v>407</v>
      </c>
      <c r="C14" s="136">
        <v>1000000</v>
      </c>
    </row>
    <row r="16" spans="1:5" x14ac:dyDescent="0.3">
      <c r="C16" s="135">
        <f>SUM(C6:C15)</f>
        <v>44450000</v>
      </c>
      <c r="E16" s="135">
        <f>SUM(E6:E15)</f>
        <v>45685000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opLeftCell="A2" zoomScale="115" zoomScaleNormal="115" workbookViewId="0">
      <selection activeCell="G27" sqref="G27"/>
    </sheetView>
  </sheetViews>
  <sheetFormatPr baseColWidth="10" defaultRowHeight="12.45" x14ac:dyDescent="0.3"/>
  <cols>
    <col min="1" max="1" width="22.07421875" customWidth="1"/>
    <col min="2" max="2" width="10.4609375" style="90" bestFit="1" customWidth="1"/>
    <col min="3" max="3" width="7.69140625" customWidth="1"/>
    <col min="4" max="4" width="5.3046875" customWidth="1"/>
    <col min="5" max="5" width="11.53515625" style="90"/>
    <col min="6" max="6" width="5.3046875" customWidth="1"/>
    <col min="7" max="7" width="11.53515625" style="90"/>
    <col min="8" max="8" width="5.3046875" customWidth="1"/>
    <col min="9" max="9" width="11.53515625" style="90"/>
  </cols>
  <sheetData>
    <row r="1" spans="1:10" x14ac:dyDescent="0.3">
      <c r="C1" t="s">
        <v>236</v>
      </c>
      <c r="D1" t="s">
        <v>237</v>
      </c>
      <c r="E1" s="90" t="s">
        <v>233</v>
      </c>
      <c r="F1" t="s">
        <v>237</v>
      </c>
      <c r="G1" s="90" t="s">
        <v>232</v>
      </c>
      <c r="H1" t="s">
        <v>237</v>
      </c>
      <c r="I1" s="90" t="s">
        <v>234</v>
      </c>
      <c r="J1" s="84" t="s">
        <v>326</v>
      </c>
    </row>
    <row r="2" spans="1:10" x14ac:dyDescent="0.3">
      <c r="A2" t="s">
        <v>235</v>
      </c>
      <c r="B2" s="90">
        <v>71592</v>
      </c>
      <c r="C2" s="127">
        <v>7.4999999999999997E-2</v>
      </c>
      <c r="D2" s="88">
        <v>0.2</v>
      </c>
      <c r="E2" s="90">
        <f>$B2*(1+$C2)*D2</f>
        <v>15392.279999999999</v>
      </c>
      <c r="F2" s="88">
        <v>0.35</v>
      </c>
      <c r="G2" s="90">
        <f>$B2*(1+$C2)*F2</f>
        <v>26936.489999999998</v>
      </c>
      <c r="H2" s="88">
        <v>0.45</v>
      </c>
      <c r="I2" s="90">
        <f>$B2*(1+$C2)*H2</f>
        <v>34632.629999999997</v>
      </c>
      <c r="J2" s="128">
        <f>E2+G2+I2</f>
        <v>76961.399999999994</v>
      </c>
    </row>
    <row r="3" spans="1:10" x14ac:dyDescent="0.3">
      <c r="A3" t="s">
        <v>135</v>
      </c>
      <c r="B3" s="90">
        <f>100000/12</f>
        <v>8333.3333333333339</v>
      </c>
      <c r="C3" s="88">
        <v>0.1</v>
      </c>
      <c r="D3" s="88">
        <v>0.2</v>
      </c>
      <c r="E3" s="90">
        <f>$B3*(1+$C3)*D3</f>
        <v>1833.3333333333337</v>
      </c>
      <c r="F3" s="88">
        <v>0.35</v>
      </c>
      <c r="G3" s="90">
        <f>$B3*(1+$C3)*F3</f>
        <v>3208.3333333333335</v>
      </c>
      <c r="H3" s="88">
        <v>0.45</v>
      </c>
      <c r="I3" s="90">
        <f>$B3*(1+$C3)*H3</f>
        <v>4125.0000000000009</v>
      </c>
      <c r="J3" s="128">
        <f>E3+G3+I3</f>
        <v>9166.6666666666679</v>
      </c>
    </row>
    <row r="4" spans="1:10" x14ac:dyDescent="0.3">
      <c r="A4" t="s">
        <v>11</v>
      </c>
      <c r="B4" s="90">
        <f>4.33*860</f>
        <v>3723.8</v>
      </c>
      <c r="C4" s="88">
        <v>0.1</v>
      </c>
      <c r="D4" s="89">
        <f>1/3</f>
        <v>0.33333333333333331</v>
      </c>
      <c r="E4" s="90">
        <f>$B4*(1+$C4)*D4</f>
        <v>1365.3933333333334</v>
      </c>
      <c r="F4" s="89">
        <f>1/3</f>
        <v>0.33333333333333331</v>
      </c>
      <c r="G4" s="90">
        <f>$B4*(1+$C4)*F4</f>
        <v>1365.3933333333334</v>
      </c>
      <c r="H4" s="89">
        <f>1/3</f>
        <v>0.33333333333333331</v>
      </c>
      <c r="I4" s="90">
        <f>$B4*(1+$C4)*H4</f>
        <v>1365.3933333333334</v>
      </c>
      <c r="J4" s="128">
        <f>E4+G4+I4</f>
        <v>4096.18</v>
      </c>
    </row>
    <row r="5" spans="1:10" x14ac:dyDescent="0.3">
      <c r="A5" t="s">
        <v>238</v>
      </c>
      <c r="B5" s="90">
        <v>5000</v>
      </c>
      <c r="C5" s="88">
        <v>0.1</v>
      </c>
      <c r="D5" s="89">
        <f>1/3</f>
        <v>0.33333333333333331</v>
      </c>
      <c r="E5" s="90">
        <f>$B5*(1+$C5)*D5</f>
        <v>1833.3333333333333</v>
      </c>
      <c r="F5" s="89">
        <f>1/3</f>
        <v>0.33333333333333331</v>
      </c>
      <c r="G5" s="90">
        <f>$B5*(1+$C5)*F5</f>
        <v>1833.3333333333333</v>
      </c>
      <c r="H5" s="89">
        <f>1/3</f>
        <v>0.33333333333333331</v>
      </c>
      <c r="I5" s="90">
        <f>$B5*(1+$C5)*H5</f>
        <v>1833.3333333333333</v>
      </c>
      <c r="J5" s="128">
        <f>E5+G5+I5</f>
        <v>5500</v>
      </c>
    </row>
    <row r="6" spans="1:10" x14ac:dyDescent="0.3">
      <c r="A6" t="s">
        <v>239</v>
      </c>
      <c r="B6" s="90">
        <v>4000</v>
      </c>
      <c r="C6" s="88">
        <v>0.1</v>
      </c>
      <c r="D6" s="89">
        <f>1/3</f>
        <v>0.33333333333333331</v>
      </c>
      <c r="E6" s="90">
        <f>$B6*(1+$C6)*D6</f>
        <v>1466.6666666666665</v>
      </c>
      <c r="F6" s="89">
        <f>1/3</f>
        <v>0.33333333333333331</v>
      </c>
      <c r="G6" s="90">
        <f>$B6*(1+$C6)*F6</f>
        <v>1466.6666666666665</v>
      </c>
      <c r="H6" s="89">
        <f>1/3</f>
        <v>0.33333333333333331</v>
      </c>
      <c r="I6" s="90">
        <f>$B6*(1+$C6)*H6</f>
        <v>1466.6666666666665</v>
      </c>
      <c r="J6" s="128">
        <f>E6+G6+I6</f>
        <v>4400</v>
      </c>
    </row>
    <row r="8" spans="1:10" x14ac:dyDescent="0.3">
      <c r="B8" s="90">
        <f>SUM(B2:B7)</f>
        <v>92649.133333333331</v>
      </c>
      <c r="E8" s="90">
        <f>SUM(E2:E7)</f>
        <v>21891.006666666664</v>
      </c>
      <c r="G8" s="90">
        <f>SUM(G2:G7)</f>
        <v>34810.21666666666</v>
      </c>
      <c r="I8" s="90">
        <f>SUM(I2:I7)</f>
        <v>43423.023333333331</v>
      </c>
      <c r="J8" s="90">
        <f>SUM(J2:J7)</f>
        <v>100124.24666666667</v>
      </c>
    </row>
    <row r="10" spans="1:10" x14ac:dyDescent="0.3">
      <c r="E10" s="90">
        <f>SUM(E8:I8)</f>
        <v>100124.24666666666</v>
      </c>
    </row>
    <row r="14" spans="1:10" x14ac:dyDescent="0.3">
      <c r="A14" t="s">
        <v>240</v>
      </c>
      <c r="B14" s="90">
        <f>1563000/12*1.025</f>
        <v>133506.25</v>
      </c>
      <c r="C14" s="88">
        <v>0</v>
      </c>
      <c r="D14" s="88">
        <v>0.4</v>
      </c>
      <c r="E14" s="90">
        <f>$B14*(1+$C14)*D14</f>
        <v>53402.5</v>
      </c>
      <c r="F14" s="88">
        <v>0.35</v>
      </c>
      <c r="G14" s="90">
        <f>$B14*(1+$C14)*F14</f>
        <v>46727.1875</v>
      </c>
      <c r="H14" s="88">
        <v>0.25</v>
      </c>
      <c r="I14" s="90">
        <f>$B14*(1+$C14)*H14</f>
        <v>33376.5625</v>
      </c>
    </row>
    <row r="17" spans="2:10" x14ac:dyDescent="0.3">
      <c r="B17" s="90">
        <v>214775</v>
      </c>
    </row>
    <row r="18" spans="2:10" x14ac:dyDescent="0.3">
      <c r="B18" s="90">
        <f>B17/3</f>
        <v>71591.666666666672</v>
      </c>
    </row>
    <row r="19" spans="2:10" x14ac:dyDescent="0.3">
      <c r="B19" s="90">
        <f>B17*1.075</f>
        <v>230883.125</v>
      </c>
      <c r="E19" s="90">
        <f>E20+B22</f>
        <v>70750</v>
      </c>
      <c r="G19" s="126" t="s">
        <v>232</v>
      </c>
      <c r="I19" s="90">
        <f>E19/3*1.1</f>
        <v>25941.666666666668</v>
      </c>
      <c r="J19" s="64">
        <f>I19/$B$18</f>
        <v>0.36235595390524966</v>
      </c>
    </row>
    <row r="20" spans="2:10" x14ac:dyDescent="0.3">
      <c r="B20" s="90">
        <v>82500</v>
      </c>
      <c r="E20" s="90">
        <f>B20/2</f>
        <v>41250</v>
      </c>
      <c r="G20" s="126" t="s">
        <v>325</v>
      </c>
      <c r="I20" s="90">
        <f>E20/3*1.1</f>
        <v>15125.000000000002</v>
      </c>
      <c r="J20" s="64">
        <f>I20/$B$18</f>
        <v>0.21126760563380284</v>
      </c>
    </row>
    <row r="21" spans="2:10" x14ac:dyDescent="0.3">
      <c r="B21" s="90">
        <v>83250</v>
      </c>
      <c r="E21" s="90">
        <f>B21</f>
        <v>83250</v>
      </c>
      <c r="G21" s="126" t="s">
        <v>234</v>
      </c>
      <c r="I21" s="90">
        <f>E21/3*1.1</f>
        <v>30525.000000000004</v>
      </c>
      <c r="J21" s="64">
        <f>I21/$B$18</f>
        <v>0.42637644046094753</v>
      </c>
    </row>
    <row r="22" spans="2:10" x14ac:dyDescent="0.3">
      <c r="B22" s="90">
        <v>29500</v>
      </c>
    </row>
    <row r="25" spans="2:10" x14ac:dyDescent="0.3">
      <c r="E25" s="90">
        <v>990000</v>
      </c>
      <c r="G25" s="90">
        <f>E25*(1+0.12+0.079+0.04)</f>
        <v>1226610</v>
      </c>
    </row>
    <row r="26" spans="2:10" x14ac:dyDescent="0.3">
      <c r="E26" s="90">
        <v>250000</v>
      </c>
      <c r="G26" s="90">
        <f>E26*1.079</f>
        <v>269750</v>
      </c>
    </row>
    <row r="27" spans="2:10" x14ac:dyDescent="0.3">
      <c r="G27" s="90">
        <f>SUM(G25:G26)</f>
        <v>1496360</v>
      </c>
    </row>
    <row r="28" spans="2:10" x14ac:dyDescent="0.3">
      <c r="G28" s="90">
        <f>G27/12</f>
        <v>124696.66666666667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9"/>
  <sheetViews>
    <sheetView topLeftCell="A4" zoomScaleNormal="100" workbookViewId="0">
      <selection activeCell="T21" sqref="T21"/>
    </sheetView>
  </sheetViews>
  <sheetFormatPr baseColWidth="10" defaultRowHeight="12.45" x14ac:dyDescent="0.3"/>
  <cols>
    <col min="1" max="1" width="33.53515625" bestFit="1" customWidth="1"/>
    <col min="2" max="3" width="7" style="36" customWidth="1"/>
    <col min="4" max="6" width="4.07421875" style="48" customWidth="1"/>
    <col min="7" max="18" width="8.69140625" customWidth="1"/>
  </cols>
  <sheetData>
    <row r="1" spans="1:20" x14ac:dyDescent="0.3">
      <c r="A1" s="8" t="s">
        <v>42</v>
      </c>
    </row>
    <row r="2" spans="1:20" x14ac:dyDescent="0.3">
      <c r="A2" s="8"/>
      <c r="G2" s="58">
        <v>1</v>
      </c>
      <c r="H2" s="58">
        <v>0</v>
      </c>
      <c r="I2" s="58">
        <v>0</v>
      </c>
      <c r="J2" s="119">
        <v>3</v>
      </c>
      <c r="K2" s="58">
        <v>3</v>
      </c>
      <c r="L2" s="58">
        <v>1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2</v>
      </c>
      <c r="S2" s="58">
        <f>SUM(G2:R2)</f>
        <v>10</v>
      </c>
      <c r="T2" s="62" t="s">
        <v>143</v>
      </c>
    </row>
    <row r="3" spans="1:20" x14ac:dyDescent="0.3">
      <c r="A3" s="21"/>
      <c r="G3" s="119">
        <v>22</v>
      </c>
      <c r="H3" s="119">
        <v>20</v>
      </c>
      <c r="I3" s="119">
        <v>21</v>
      </c>
      <c r="J3" s="119">
        <v>19</v>
      </c>
      <c r="K3" s="58">
        <v>20</v>
      </c>
      <c r="L3" s="58">
        <v>19</v>
      </c>
      <c r="M3" s="58">
        <v>23</v>
      </c>
      <c r="N3" s="58">
        <v>22</v>
      </c>
      <c r="O3" s="58">
        <v>21</v>
      </c>
      <c r="P3" s="58">
        <v>23</v>
      </c>
      <c r="Q3" s="58">
        <v>21</v>
      </c>
      <c r="R3" s="58">
        <v>19</v>
      </c>
      <c r="S3" s="58">
        <f>SUM(G3:R3)</f>
        <v>250</v>
      </c>
      <c r="T3" s="62" t="s">
        <v>144</v>
      </c>
    </row>
    <row r="4" spans="1:20" s="43" customFormat="1" ht="10.3" x14ac:dyDescent="0.25">
      <c r="B4" s="55"/>
      <c r="C4" s="55"/>
      <c r="D4" s="55"/>
      <c r="E4" s="55"/>
      <c r="F4" s="55"/>
      <c r="G4" s="62"/>
      <c r="H4" s="62"/>
      <c r="I4" s="62">
        <v>1</v>
      </c>
      <c r="J4" s="62">
        <v>2</v>
      </c>
      <c r="K4" s="62"/>
      <c r="L4" s="62">
        <v>1</v>
      </c>
      <c r="M4" s="62">
        <v>13</v>
      </c>
      <c r="N4" s="62">
        <v>7</v>
      </c>
      <c r="O4" s="62"/>
      <c r="P4" s="62"/>
      <c r="Q4" s="62"/>
      <c r="R4" s="62">
        <v>4</v>
      </c>
      <c r="S4" s="62">
        <f>SUM(G4:R4)</f>
        <v>28</v>
      </c>
      <c r="T4" s="62" t="s">
        <v>139</v>
      </c>
    </row>
    <row r="5" spans="1:20" x14ac:dyDescent="0.3">
      <c r="A5" s="21"/>
      <c r="B5" s="34" t="s">
        <v>45</v>
      </c>
      <c r="C5" s="55" t="s">
        <v>160</v>
      </c>
      <c r="D5" s="48" t="s">
        <v>130</v>
      </c>
      <c r="E5" s="48" t="s">
        <v>161</v>
      </c>
      <c r="F5" s="48" t="s">
        <v>162</v>
      </c>
      <c r="G5" s="40" t="s">
        <v>25</v>
      </c>
      <c r="H5" s="40" t="s">
        <v>35</v>
      </c>
      <c r="I5" s="40" t="s">
        <v>26</v>
      </c>
      <c r="J5" s="40" t="s">
        <v>27</v>
      </c>
      <c r="K5" s="40" t="s">
        <v>2</v>
      </c>
      <c r="L5" s="40" t="s">
        <v>28</v>
      </c>
      <c r="M5" s="40" t="s">
        <v>29</v>
      </c>
      <c r="N5" s="40" t="s">
        <v>30</v>
      </c>
      <c r="O5" s="40" t="s">
        <v>31</v>
      </c>
      <c r="P5" s="40" t="s">
        <v>32</v>
      </c>
      <c r="Q5" s="40" t="s">
        <v>33</v>
      </c>
      <c r="R5" s="40" t="s">
        <v>34</v>
      </c>
      <c r="S5" s="40" t="s">
        <v>3</v>
      </c>
    </row>
    <row r="6" spans="1:20" x14ac:dyDescent="0.3">
      <c r="A6" s="43" t="s">
        <v>218</v>
      </c>
      <c r="B6" s="54">
        <f>59167/162.5</f>
        <v>364.10461538461539</v>
      </c>
      <c r="C6" s="45">
        <f>7.5*40%</f>
        <v>3</v>
      </c>
      <c r="D6" s="49">
        <v>1</v>
      </c>
      <c r="E6" s="49"/>
      <c r="F6" s="49"/>
      <c r="G6" s="21">
        <f>(G$3-G$4)*$C6</f>
        <v>66</v>
      </c>
      <c r="H6" s="21">
        <f t="shared" ref="H6:R6" si="0">(H$3-H$4)*$C6</f>
        <v>60</v>
      </c>
      <c r="I6" s="21">
        <f t="shared" si="0"/>
        <v>60</v>
      </c>
      <c r="J6" s="21">
        <f t="shared" si="0"/>
        <v>51</v>
      </c>
      <c r="K6" s="21">
        <f t="shared" si="0"/>
        <v>60</v>
      </c>
      <c r="L6" s="21">
        <f t="shared" si="0"/>
        <v>54</v>
      </c>
      <c r="M6" s="21">
        <f t="shared" si="0"/>
        <v>30</v>
      </c>
      <c r="N6" s="21">
        <f t="shared" si="0"/>
        <v>45</v>
      </c>
      <c r="O6" s="21">
        <f t="shared" si="0"/>
        <v>63</v>
      </c>
      <c r="P6" s="21">
        <f t="shared" si="0"/>
        <v>69</v>
      </c>
      <c r="Q6" s="21">
        <f t="shared" si="0"/>
        <v>63</v>
      </c>
      <c r="R6" s="21">
        <f t="shared" si="0"/>
        <v>45</v>
      </c>
      <c r="S6" s="61">
        <f t="shared" ref="S6:S16" si="1">SUM(G6:R6)</f>
        <v>666</v>
      </c>
    </row>
    <row r="7" spans="1:20" x14ac:dyDescent="0.3">
      <c r="A7" s="43" t="s">
        <v>329</v>
      </c>
      <c r="B7" s="54">
        <f>51500/162.5</f>
        <v>316.92307692307691</v>
      </c>
      <c r="C7" s="45">
        <f>7.5*20%</f>
        <v>1.5</v>
      </c>
      <c r="D7" s="49">
        <v>1</v>
      </c>
      <c r="E7" s="49"/>
      <c r="F7" s="49"/>
      <c r="G7" s="21">
        <f t="shared" ref="G7:R16" si="2">(G$3-G$4)*$C7</f>
        <v>33</v>
      </c>
      <c r="H7" s="21">
        <f t="shared" si="2"/>
        <v>30</v>
      </c>
      <c r="I7" s="21">
        <f t="shared" si="2"/>
        <v>30</v>
      </c>
      <c r="J7" s="21">
        <f t="shared" si="2"/>
        <v>25.5</v>
      </c>
      <c r="K7" s="21">
        <f t="shared" si="2"/>
        <v>30</v>
      </c>
      <c r="L7" s="21">
        <f t="shared" si="2"/>
        <v>27</v>
      </c>
      <c r="M7" s="21">
        <f t="shared" si="2"/>
        <v>15</v>
      </c>
      <c r="N7" s="21">
        <f t="shared" si="2"/>
        <v>22.5</v>
      </c>
      <c r="O7" s="21">
        <f t="shared" si="2"/>
        <v>31.5</v>
      </c>
      <c r="P7" s="21">
        <f t="shared" si="2"/>
        <v>34.5</v>
      </c>
      <c r="Q7" s="21">
        <f t="shared" si="2"/>
        <v>31.5</v>
      </c>
      <c r="R7" s="21">
        <f t="shared" si="2"/>
        <v>22.5</v>
      </c>
      <c r="S7" s="61">
        <f t="shared" si="1"/>
        <v>333</v>
      </c>
    </row>
    <row r="8" spans="1:20" x14ac:dyDescent="0.3">
      <c r="A8" s="43"/>
      <c r="B8" s="45"/>
      <c r="C8" s="45"/>
      <c r="D8" s="49"/>
      <c r="E8" s="49"/>
      <c r="F8" s="49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61"/>
    </row>
    <row r="9" spans="1:20" x14ac:dyDescent="0.3">
      <c r="A9" s="43" t="s">
        <v>120</v>
      </c>
      <c r="B9" s="54">
        <f>252+(800/162.5)</f>
        <v>256.92307692307691</v>
      </c>
      <c r="C9" s="45">
        <v>7.5</v>
      </c>
      <c r="D9" s="49"/>
      <c r="E9" s="49"/>
      <c r="F9" s="49">
        <v>1</v>
      </c>
      <c r="G9" s="21">
        <f t="shared" si="2"/>
        <v>165</v>
      </c>
      <c r="H9" s="21">
        <f t="shared" si="2"/>
        <v>150</v>
      </c>
      <c r="I9" s="21">
        <f t="shared" si="2"/>
        <v>150</v>
      </c>
      <c r="J9" s="21">
        <f t="shared" si="2"/>
        <v>127.5</v>
      </c>
      <c r="K9" s="21">
        <f t="shared" si="2"/>
        <v>150</v>
      </c>
      <c r="L9" s="21">
        <f t="shared" si="2"/>
        <v>135</v>
      </c>
      <c r="M9" s="21">
        <f t="shared" si="2"/>
        <v>75</v>
      </c>
      <c r="N9" s="21">
        <f t="shared" si="2"/>
        <v>112.5</v>
      </c>
      <c r="O9" s="21">
        <f t="shared" si="2"/>
        <v>157.5</v>
      </c>
      <c r="P9" s="21">
        <f t="shared" si="2"/>
        <v>172.5</v>
      </c>
      <c r="Q9" s="21">
        <f t="shared" si="2"/>
        <v>157.5</v>
      </c>
      <c r="R9" s="21">
        <f t="shared" si="2"/>
        <v>112.5</v>
      </c>
      <c r="S9" s="61">
        <f t="shared" si="1"/>
        <v>1665</v>
      </c>
    </row>
    <row r="10" spans="1:20" x14ac:dyDescent="0.3">
      <c r="A10" s="43" t="s">
        <v>121</v>
      </c>
      <c r="B10" s="54">
        <f>256+3500/162.5</f>
        <v>277.53846153846155</v>
      </c>
      <c r="C10" s="45">
        <v>7.5</v>
      </c>
      <c r="D10" s="49"/>
      <c r="E10" s="49"/>
      <c r="F10" s="49">
        <v>1</v>
      </c>
      <c r="G10" s="21">
        <f t="shared" si="2"/>
        <v>165</v>
      </c>
      <c r="H10" s="21">
        <f t="shared" si="2"/>
        <v>150</v>
      </c>
      <c r="I10" s="21">
        <f t="shared" si="2"/>
        <v>150</v>
      </c>
      <c r="J10" s="21">
        <f t="shared" si="2"/>
        <v>127.5</v>
      </c>
      <c r="K10" s="21">
        <f t="shared" si="2"/>
        <v>150</v>
      </c>
      <c r="L10" s="21">
        <f t="shared" si="2"/>
        <v>135</v>
      </c>
      <c r="M10" s="21">
        <f t="shared" si="2"/>
        <v>75</v>
      </c>
      <c r="N10" s="21">
        <f t="shared" si="2"/>
        <v>112.5</v>
      </c>
      <c r="O10" s="21">
        <f t="shared" si="2"/>
        <v>157.5</v>
      </c>
      <c r="P10" s="21">
        <f t="shared" si="2"/>
        <v>172.5</v>
      </c>
      <c r="Q10" s="21">
        <f t="shared" si="2"/>
        <v>157.5</v>
      </c>
      <c r="R10" s="21">
        <f t="shared" si="2"/>
        <v>112.5</v>
      </c>
      <c r="S10" s="61">
        <f t="shared" si="1"/>
        <v>1665</v>
      </c>
    </row>
    <row r="11" spans="1:20" x14ac:dyDescent="0.3">
      <c r="A11" s="43" t="s">
        <v>122</v>
      </c>
      <c r="B11" s="54">
        <f>256+6500/162.5</f>
        <v>296</v>
      </c>
      <c r="C11" s="45">
        <v>7.5</v>
      </c>
      <c r="D11" s="49"/>
      <c r="E11" s="49"/>
      <c r="F11" s="49">
        <v>1</v>
      </c>
      <c r="G11" s="21">
        <f t="shared" si="2"/>
        <v>165</v>
      </c>
      <c r="H11" s="21">
        <f t="shared" si="2"/>
        <v>150</v>
      </c>
      <c r="I11" s="21">
        <f t="shared" si="2"/>
        <v>150</v>
      </c>
      <c r="J11" s="21">
        <f t="shared" si="2"/>
        <v>127.5</v>
      </c>
      <c r="K11" s="21">
        <f t="shared" si="2"/>
        <v>150</v>
      </c>
      <c r="L11" s="21">
        <f t="shared" si="2"/>
        <v>135</v>
      </c>
      <c r="M11" s="21">
        <f t="shared" si="2"/>
        <v>75</v>
      </c>
      <c r="N11" s="21">
        <f t="shared" si="2"/>
        <v>112.5</v>
      </c>
      <c r="O11" s="21">
        <f t="shared" si="2"/>
        <v>157.5</v>
      </c>
      <c r="P11" s="21">
        <f t="shared" si="2"/>
        <v>172.5</v>
      </c>
      <c r="Q11" s="21">
        <f t="shared" si="2"/>
        <v>157.5</v>
      </c>
      <c r="R11" s="21">
        <f t="shared" si="2"/>
        <v>112.5</v>
      </c>
      <c r="S11" s="61">
        <f t="shared" si="1"/>
        <v>1665</v>
      </c>
    </row>
    <row r="12" spans="1:20" x14ac:dyDescent="0.3">
      <c r="A12" s="43" t="s">
        <v>215</v>
      </c>
      <c r="B12" s="54">
        <f>253+3500/162.5</f>
        <v>274.53846153846155</v>
      </c>
      <c r="C12" s="45">
        <v>7.5</v>
      </c>
      <c r="D12" s="49"/>
      <c r="E12" s="49"/>
      <c r="F12" s="49">
        <v>1</v>
      </c>
      <c r="G12" s="21">
        <f t="shared" si="2"/>
        <v>165</v>
      </c>
      <c r="H12" s="21">
        <f t="shared" si="2"/>
        <v>150</v>
      </c>
      <c r="I12" s="21">
        <f t="shared" si="2"/>
        <v>150</v>
      </c>
      <c r="J12" s="21">
        <f t="shared" si="2"/>
        <v>127.5</v>
      </c>
      <c r="K12" s="21">
        <f t="shared" si="2"/>
        <v>150</v>
      </c>
      <c r="L12" s="21">
        <f t="shared" si="2"/>
        <v>135</v>
      </c>
      <c r="M12" s="21">
        <f t="shared" si="2"/>
        <v>75</v>
      </c>
      <c r="N12" s="21">
        <f t="shared" si="2"/>
        <v>112.5</v>
      </c>
      <c r="O12" s="21">
        <f t="shared" si="2"/>
        <v>157.5</v>
      </c>
      <c r="P12" s="21">
        <f t="shared" si="2"/>
        <v>172.5</v>
      </c>
      <c r="Q12" s="21">
        <f t="shared" si="2"/>
        <v>157.5</v>
      </c>
      <c r="R12" s="21">
        <f t="shared" si="2"/>
        <v>112.5</v>
      </c>
      <c r="S12" s="61">
        <f t="shared" si="1"/>
        <v>1665</v>
      </c>
    </row>
    <row r="13" spans="1:20" x14ac:dyDescent="0.3">
      <c r="A13" s="43" t="s">
        <v>328</v>
      </c>
      <c r="B13" s="45"/>
      <c r="C13" s="45">
        <v>7.5</v>
      </c>
      <c r="D13" s="49"/>
      <c r="E13" s="49"/>
      <c r="F13" s="49">
        <v>1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61">
        <f t="shared" si="1"/>
        <v>0</v>
      </c>
    </row>
    <row r="14" spans="1:20" x14ac:dyDescent="0.3">
      <c r="A14" s="43" t="s">
        <v>328</v>
      </c>
      <c r="B14" s="45"/>
      <c r="C14" s="45">
        <v>7.5</v>
      </c>
      <c r="D14" s="49"/>
      <c r="E14" s="49"/>
      <c r="F14" s="49">
        <v>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61">
        <f t="shared" si="1"/>
        <v>0</v>
      </c>
    </row>
    <row r="15" spans="1:20" x14ac:dyDescent="0.3">
      <c r="A15" s="43" t="s">
        <v>328</v>
      </c>
      <c r="B15" s="45"/>
      <c r="C15" s="45">
        <v>7.5</v>
      </c>
      <c r="D15" s="49"/>
      <c r="E15" s="49"/>
      <c r="F15" s="49">
        <v>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61">
        <f t="shared" si="1"/>
        <v>0</v>
      </c>
    </row>
    <row r="16" spans="1:20" x14ac:dyDescent="0.3">
      <c r="A16" s="43" t="s">
        <v>327</v>
      </c>
      <c r="B16" s="54">
        <v>271</v>
      </c>
      <c r="C16" s="45">
        <v>7.5</v>
      </c>
      <c r="D16" s="49"/>
      <c r="E16" s="49"/>
      <c r="F16" s="49">
        <v>1</v>
      </c>
      <c r="G16" s="21">
        <f t="shared" si="2"/>
        <v>165</v>
      </c>
      <c r="H16" s="21">
        <f t="shared" si="2"/>
        <v>150</v>
      </c>
      <c r="I16" s="21">
        <f t="shared" si="2"/>
        <v>150</v>
      </c>
      <c r="J16" s="21">
        <f t="shared" si="2"/>
        <v>127.5</v>
      </c>
      <c r="K16" s="21">
        <f t="shared" si="2"/>
        <v>150</v>
      </c>
      <c r="L16" s="21">
        <f t="shared" si="2"/>
        <v>135</v>
      </c>
      <c r="M16" s="21">
        <f t="shared" si="2"/>
        <v>75</v>
      </c>
      <c r="N16" s="21">
        <f t="shared" si="2"/>
        <v>112.5</v>
      </c>
      <c r="O16" s="21">
        <f t="shared" si="2"/>
        <v>157.5</v>
      </c>
      <c r="P16" s="21">
        <f t="shared" si="2"/>
        <v>172.5</v>
      </c>
      <c r="Q16" s="21">
        <f t="shared" si="2"/>
        <v>157.5</v>
      </c>
      <c r="R16" s="21">
        <f t="shared" si="2"/>
        <v>112.5</v>
      </c>
      <c r="S16" s="61">
        <f t="shared" si="1"/>
        <v>1665</v>
      </c>
    </row>
    <row r="17" spans="1:19" x14ac:dyDescent="0.3">
      <c r="A17" s="43"/>
      <c r="B17" s="83"/>
      <c r="C17" s="45"/>
      <c r="D17" s="49"/>
      <c r="E17" s="49"/>
      <c r="F17" s="4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61"/>
    </row>
    <row r="18" spans="1:19" x14ac:dyDescent="0.3">
      <c r="A18" s="28" t="s">
        <v>44</v>
      </c>
      <c r="B18" s="67"/>
      <c r="C18" s="67"/>
      <c r="D18" s="68"/>
      <c r="E18" s="68"/>
      <c r="F18" s="66"/>
      <c r="G18" s="69">
        <f t="shared" ref="G18:S18" si="3">SUM(G6:G17)</f>
        <v>924</v>
      </c>
      <c r="H18" s="69">
        <f t="shared" si="3"/>
        <v>840</v>
      </c>
      <c r="I18" s="69">
        <f t="shared" si="3"/>
        <v>840</v>
      </c>
      <c r="J18" s="69">
        <f t="shared" si="3"/>
        <v>714</v>
      </c>
      <c r="K18" s="69">
        <f t="shared" si="3"/>
        <v>840</v>
      </c>
      <c r="L18" s="69">
        <f t="shared" si="3"/>
        <v>756</v>
      </c>
      <c r="M18" s="69">
        <f t="shared" si="3"/>
        <v>420</v>
      </c>
      <c r="N18" s="69">
        <f t="shared" si="3"/>
        <v>630</v>
      </c>
      <c r="O18" s="69">
        <f t="shared" si="3"/>
        <v>882</v>
      </c>
      <c r="P18" s="69">
        <f t="shared" si="3"/>
        <v>966</v>
      </c>
      <c r="Q18" s="69">
        <f t="shared" si="3"/>
        <v>882</v>
      </c>
      <c r="R18" s="69">
        <f t="shared" si="3"/>
        <v>630</v>
      </c>
      <c r="S18" s="69">
        <f t="shared" si="3"/>
        <v>9324</v>
      </c>
    </row>
    <row r="19" spans="1:19" x14ac:dyDescent="0.3">
      <c r="A19" s="21"/>
      <c r="G19" s="21"/>
      <c r="H19" s="21"/>
      <c r="I19" s="21"/>
      <c r="J19" s="78">
        <v>2.5000000000000001E-2</v>
      </c>
      <c r="K19" s="78">
        <v>2.5000000000000001E-2</v>
      </c>
      <c r="L19" s="78">
        <v>2.5000000000000001E-2</v>
      </c>
      <c r="M19" s="78">
        <v>2.5000000000000001E-2</v>
      </c>
      <c r="N19" s="78">
        <v>2.5000000000000001E-2</v>
      </c>
      <c r="O19" s="78">
        <v>2.5000000000000001E-2</v>
      </c>
      <c r="P19" s="78">
        <v>2.5000000000000001E-2</v>
      </c>
      <c r="Q19" s="78">
        <v>2.5000000000000001E-2</v>
      </c>
      <c r="R19" s="78">
        <v>2.5000000000000001E-2</v>
      </c>
      <c r="S19" s="24"/>
    </row>
    <row r="20" spans="1:19" x14ac:dyDescent="0.3">
      <c r="A20" s="24" t="s">
        <v>72</v>
      </c>
      <c r="B20" s="34"/>
      <c r="C20" s="34"/>
      <c r="F20" s="50"/>
      <c r="G20" s="16">
        <f>(G6*$B$6+G7*$B$7+G9*$B$9+G10*$B$10+G11*$B$11+G12*$B$12+G13*$B$13+$B$14*G14+$B$15*G15+$B$16*G16)*(1+G19)</f>
        <v>261529.36615384615</v>
      </c>
      <c r="H20" s="16">
        <f t="shared" ref="H20:R20" si="4">(H6*$B$6+H7*$B$7+H9*$B$9+H10*$B$10+H11*$B$11+H12*$B$12+H13*$B$13+$B$14*H14+$B$15*H15+$B$16*H16)*(1+H19)</f>
        <v>237753.96923076926</v>
      </c>
      <c r="I20" s="16">
        <f t="shared" si="4"/>
        <v>237753.96923076926</v>
      </c>
      <c r="J20" s="16">
        <f t="shared" si="4"/>
        <v>207143.14569230768</v>
      </c>
      <c r="K20" s="16">
        <f t="shared" si="4"/>
        <v>243697.81846153847</v>
      </c>
      <c r="L20" s="16">
        <f t="shared" si="4"/>
        <v>219328.0366153846</v>
      </c>
      <c r="M20" s="16">
        <f t="shared" si="4"/>
        <v>121848.90923076923</v>
      </c>
      <c r="N20" s="16">
        <f t="shared" si="4"/>
        <v>182773.36384615384</v>
      </c>
      <c r="O20" s="16">
        <f t="shared" si="4"/>
        <v>255882.70938461533</v>
      </c>
      <c r="P20" s="16">
        <f t="shared" si="4"/>
        <v>280252.4912307692</v>
      </c>
      <c r="Q20" s="16">
        <f t="shared" si="4"/>
        <v>255882.70938461533</v>
      </c>
      <c r="R20" s="16">
        <f t="shared" si="4"/>
        <v>182773.36384615384</v>
      </c>
      <c r="S20" s="16">
        <f>SUM(G20:R20)</f>
        <v>2686619.8523076926</v>
      </c>
    </row>
    <row r="21" spans="1:19" x14ac:dyDescent="0.3">
      <c r="A21" s="24" t="s">
        <v>145</v>
      </c>
      <c r="B21" s="34"/>
      <c r="C21" s="34"/>
      <c r="F21" s="50"/>
      <c r="G21" s="16">
        <f>(G2*AVERAGE($C$6:$C$16)*COUNT(G6:G16)*AVERAGE($B$6:$B$16))*(1+G19)</f>
        <v>13267.828615384615</v>
      </c>
      <c r="H21" s="16">
        <f t="shared" ref="H21:R21" si="5">(H2*AVERAGE($C$6:$C$16)*COUNT(H6:H16)*AVERAGE($B$6:$B$16))*(1+H19)</f>
        <v>0</v>
      </c>
      <c r="I21" s="16">
        <f t="shared" si="5"/>
        <v>0</v>
      </c>
      <c r="J21" s="16">
        <f t="shared" si="5"/>
        <v>40798.572992307694</v>
      </c>
      <c r="K21" s="16">
        <f t="shared" si="5"/>
        <v>40798.572992307694</v>
      </c>
      <c r="L21" s="16">
        <f t="shared" si="5"/>
        <v>13599.524330769229</v>
      </c>
      <c r="M21" s="16">
        <f t="shared" si="5"/>
        <v>0</v>
      </c>
      <c r="N21" s="16">
        <f t="shared" si="5"/>
        <v>0</v>
      </c>
      <c r="O21" s="16">
        <f t="shared" si="5"/>
        <v>0</v>
      </c>
      <c r="P21" s="16">
        <f t="shared" si="5"/>
        <v>0</v>
      </c>
      <c r="Q21" s="16">
        <f t="shared" si="5"/>
        <v>0</v>
      </c>
      <c r="R21" s="16">
        <f t="shared" si="5"/>
        <v>27199.048661538458</v>
      </c>
      <c r="S21" s="16">
        <f>SUM(G21:R21)</f>
        <v>135663.54759230767</v>
      </c>
    </row>
    <row r="22" spans="1:19" x14ac:dyDescent="0.3">
      <c r="A22" s="24"/>
      <c r="B22" s="34"/>
      <c r="C22" s="34"/>
      <c r="F22" s="50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3">
      <c r="A23" s="43" t="s">
        <v>163</v>
      </c>
      <c r="B23" s="34"/>
      <c r="C23" s="34"/>
      <c r="F23" s="50"/>
      <c r="G23" s="46">
        <f>SUM(G9:G17)</f>
        <v>825</v>
      </c>
      <c r="H23" s="46">
        <f t="shared" ref="H23:R23" si="6">SUM(H9:H17)</f>
        <v>750</v>
      </c>
      <c r="I23" s="46">
        <f t="shared" si="6"/>
        <v>750</v>
      </c>
      <c r="J23" s="46">
        <f t="shared" si="6"/>
        <v>637.5</v>
      </c>
      <c r="K23" s="46">
        <f t="shared" si="6"/>
        <v>750</v>
      </c>
      <c r="L23" s="46">
        <f t="shared" si="6"/>
        <v>675</v>
      </c>
      <c r="M23" s="46">
        <f t="shared" si="6"/>
        <v>375</v>
      </c>
      <c r="N23" s="46">
        <f t="shared" si="6"/>
        <v>562.5</v>
      </c>
      <c r="O23" s="46">
        <f t="shared" si="6"/>
        <v>787.5</v>
      </c>
      <c r="P23" s="46">
        <f t="shared" si="6"/>
        <v>862.5</v>
      </c>
      <c r="Q23" s="46">
        <f t="shared" si="6"/>
        <v>787.5</v>
      </c>
      <c r="R23" s="46">
        <f t="shared" si="6"/>
        <v>562.5</v>
      </c>
      <c r="S23" s="61">
        <f>SUM(G23:R23)</f>
        <v>8325</v>
      </c>
    </row>
    <row r="24" spans="1:19" x14ac:dyDescent="0.3">
      <c r="A24" s="43" t="s">
        <v>141</v>
      </c>
      <c r="B24" s="34"/>
      <c r="C24" s="34"/>
      <c r="F24" s="50"/>
      <c r="G24" s="46">
        <f>SUM(G6:G7)</f>
        <v>99</v>
      </c>
      <c r="H24" s="46">
        <f t="shared" ref="H24:R24" si="7">SUM(H6:H7)</f>
        <v>90</v>
      </c>
      <c r="I24" s="46">
        <f t="shared" si="7"/>
        <v>90</v>
      </c>
      <c r="J24" s="46">
        <f t="shared" si="7"/>
        <v>76.5</v>
      </c>
      <c r="K24" s="46">
        <f t="shared" si="7"/>
        <v>90</v>
      </c>
      <c r="L24" s="46">
        <f t="shared" si="7"/>
        <v>81</v>
      </c>
      <c r="M24" s="46">
        <f t="shared" si="7"/>
        <v>45</v>
      </c>
      <c r="N24" s="46">
        <f t="shared" si="7"/>
        <v>67.5</v>
      </c>
      <c r="O24" s="46">
        <f t="shared" si="7"/>
        <v>94.5</v>
      </c>
      <c r="P24" s="46">
        <f t="shared" si="7"/>
        <v>103.5</v>
      </c>
      <c r="Q24" s="46">
        <f t="shared" si="7"/>
        <v>94.5</v>
      </c>
      <c r="R24" s="46">
        <f t="shared" si="7"/>
        <v>67.5</v>
      </c>
      <c r="S24" s="61">
        <f>SUM(G24:R24)</f>
        <v>999</v>
      </c>
    </row>
    <row r="25" spans="1:19" x14ac:dyDescent="0.3">
      <c r="A25" s="43"/>
      <c r="B25" s="34"/>
      <c r="C25" s="34"/>
      <c r="F25" s="50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35"/>
    </row>
    <row r="26" spans="1:19" ht="13.5" customHeight="1" x14ac:dyDescent="0.3">
      <c r="G26" s="63">
        <v>1</v>
      </c>
      <c r="H26" s="63">
        <v>1</v>
      </c>
      <c r="I26" s="63">
        <v>1</v>
      </c>
      <c r="J26" s="63">
        <v>1</v>
      </c>
      <c r="K26" s="63">
        <v>1</v>
      </c>
      <c r="L26" s="63">
        <v>1</v>
      </c>
      <c r="M26" s="63">
        <v>1</v>
      </c>
      <c r="N26" s="63">
        <v>1</v>
      </c>
      <c r="O26" s="63">
        <v>1</v>
      </c>
      <c r="P26" s="63">
        <v>1</v>
      </c>
      <c r="Q26" s="63">
        <v>1</v>
      </c>
      <c r="R26" s="63">
        <v>1</v>
      </c>
    </row>
    <row r="27" spans="1:19" s="3" customFormat="1" ht="13.5" customHeight="1" x14ac:dyDescent="0.3">
      <c r="A27" s="43" t="s">
        <v>174</v>
      </c>
      <c r="B27" s="73">
        <v>590</v>
      </c>
      <c r="C27" s="74">
        <v>0.93</v>
      </c>
      <c r="D27" s="51"/>
      <c r="E27" s="51"/>
      <c r="F27" s="48"/>
      <c r="G27" s="46">
        <f>G23*$B27*G26*$C27</f>
        <v>452677.5</v>
      </c>
      <c r="H27" s="46">
        <f t="shared" ref="H27:R27" si="8">H23*$B27*H26*$C27</f>
        <v>411525</v>
      </c>
      <c r="I27" s="46">
        <f t="shared" si="8"/>
        <v>411525</v>
      </c>
      <c r="J27" s="46">
        <f t="shared" si="8"/>
        <v>349796.25</v>
      </c>
      <c r="K27" s="46">
        <f t="shared" si="8"/>
        <v>411525</v>
      </c>
      <c r="L27" s="46">
        <f t="shared" si="8"/>
        <v>370372.5</v>
      </c>
      <c r="M27" s="46">
        <f t="shared" si="8"/>
        <v>205762.5</v>
      </c>
      <c r="N27" s="46">
        <f t="shared" si="8"/>
        <v>308643.75</v>
      </c>
      <c r="O27" s="46">
        <f t="shared" si="8"/>
        <v>432101.25</v>
      </c>
      <c r="P27" s="46">
        <f t="shared" si="8"/>
        <v>473253.75</v>
      </c>
      <c r="Q27" s="46">
        <f t="shared" si="8"/>
        <v>432101.25</v>
      </c>
      <c r="R27" s="46">
        <f t="shared" si="8"/>
        <v>308643.75</v>
      </c>
      <c r="S27" s="46">
        <f>SUM(G27:R27)</f>
        <v>4567927.5</v>
      </c>
    </row>
    <row r="28" spans="1:19" s="3" customFormat="1" ht="13.5" customHeight="1" x14ac:dyDescent="0.3">
      <c r="A28" s="43" t="s">
        <v>175</v>
      </c>
      <c r="B28" s="73"/>
      <c r="C28" s="91">
        <v>0.6</v>
      </c>
      <c r="D28" s="51"/>
      <c r="E28" s="51"/>
      <c r="F28" s="48"/>
      <c r="G28" s="46">
        <f>G27*$C$28</f>
        <v>271606.5</v>
      </c>
      <c r="H28" s="46">
        <f t="shared" ref="H28:R28" si="9">H27*$C$28</f>
        <v>246915</v>
      </c>
      <c r="I28" s="46">
        <f t="shared" si="9"/>
        <v>246915</v>
      </c>
      <c r="J28" s="46">
        <f t="shared" si="9"/>
        <v>209877.75</v>
      </c>
      <c r="K28" s="46">
        <f t="shared" si="9"/>
        <v>246915</v>
      </c>
      <c r="L28" s="46">
        <f t="shared" si="9"/>
        <v>222223.5</v>
      </c>
      <c r="M28" s="46">
        <f t="shared" si="9"/>
        <v>123457.5</v>
      </c>
      <c r="N28" s="46">
        <f t="shared" si="9"/>
        <v>185186.25</v>
      </c>
      <c r="O28" s="46">
        <f t="shared" si="9"/>
        <v>259260.75</v>
      </c>
      <c r="P28" s="46">
        <f t="shared" si="9"/>
        <v>283952.25</v>
      </c>
      <c r="Q28" s="46">
        <f t="shared" si="9"/>
        <v>259260.75</v>
      </c>
      <c r="R28" s="46">
        <f t="shared" si="9"/>
        <v>185186.25</v>
      </c>
      <c r="S28" s="46">
        <f>SUM(G28:R28)</f>
        <v>2740756.5</v>
      </c>
    </row>
    <row r="29" spans="1:19" s="3" customFormat="1" ht="13.5" customHeight="1" x14ac:dyDescent="0.3">
      <c r="A29" s="43" t="s">
        <v>220</v>
      </c>
      <c r="B29" s="73">
        <v>594</v>
      </c>
      <c r="C29" s="86">
        <v>220</v>
      </c>
      <c r="D29" s="51"/>
      <c r="E29" s="51"/>
      <c r="F29" s="48"/>
      <c r="G29" s="46">
        <f>$C$29*$B$29</f>
        <v>130680</v>
      </c>
      <c r="H29" s="46">
        <f t="shared" ref="H29:R29" si="10">$C$29*$B$29</f>
        <v>130680</v>
      </c>
      <c r="I29" s="46">
        <f t="shared" si="10"/>
        <v>130680</v>
      </c>
      <c r="J29" s="46">
        <f t="shared" si="10"/>
        <v>130680</v>
      </c>
      <c r="K29" s="46">
        <f t="shared" si="10"/>
        <v>130680</v>
      </c>
      <c r="L29" s="46">
        <f t="shared" si="10"/>
        <v>130680</v>
      </c>
      <c r="M29" s="46">
        <f t="shared" si="10"/>
        <v>130680</v>
      </c>
      <c r="N29" s="46">
        <f t="shared" si="10"/>
        <v>130680</v>
      </c>
      <c r="O29" s="46">
        <f t="shared" si="10"/>
        <v>130680</v>
      </c>
      <c r="P29" s="46">
        <f t="shared" si="10"/>
        <v>130680</v>
      </c>
      <c r="Q29" s="46">
        <f t="shared" si="10"/>
        <v>130680</v>
      </c>
      <c r="R29" s="46">
        <f t="shared" si="10"/>
        <v>130680</v>
      </c>
      <c r="S29" s="46">
        <f>SUM(G29:R29)</f>
        <v>1568160</v>
      </c>
    </row>
    <row r="30" spans="1:19" s="3" customFormat="1" ht="13.5" customHeight="1" x14ac:dyDescent="0.3">
      <c r="A30" s="43" t="s">
        <v>222</v>
      </c>
      <c r="B30" s="73"/>
      <c r="C30" s="74"/>
      <c r="D30" s="51"/>
      <c r="E30" s="51"/>
      <c r="F30" s="48"/>
      <c r="G30" s="46">
        <v>250000</v>
      </c>
      <c r="H30" s="46">
        <f>G30</f>
        <v>250000</v>
      </c>
      <c r="I30" s="46">
        <f t="shared" ref="I30:R30" si="11">H30</f>
        <v>250000</v>
      </c>
      <c r="J30" s="46">
        <f t="shared" si="11"/>
        <v>250000</v>
      </c>
      <c r="K30" s="46">
        <f t="shared" si="11"/>
        <v>250000</v>
      </c>
      <c r="L30" s="46">
        <f t="shared" si="11"/>
        <v>250000</v>
      </c>
      <c r="M30" s="46">
        <f t="shared" si="11"/>
        <v>250000</v>
      </c>
      <c r="N30" s="46">
        <f t="shared" si="11"/>
        <v>250000</v>
      </c>
      <c r="O30" s="46">
        <f t="shared" si="11"/>
        <v>250000</v>
      </c>
      <c r="P30" s="46">
        <f t="shared" si="11"/>
        <v>250000</v>
      </c>
      <c r="Q30" s="46">
        <f t="shared" si="11"/>
        <v>250000</v>
      </c>
      <c r="R30" s="46">
        <f t="shared" si="11"/>
        <v>250000</v>
      </c>
      <c r="S30" s="46">
        <f>SUM(G30:R30)</f>
        <v>3000000</v>
      </c>
    </row>
    <row r="31" spans="1:19" s="3" customFormat="1" ht="13.5" customHeight="1" x14ac:dyDescent="0.3">
      <c r="A31" s="43"/>
      <c r="B31" s="73"/>
      <c r="C31" s="74"/>
      <c r="D31" s="51"/>
      <c r="E31" s="51"/>
      <c r="F31" s="48"/>
      <c r="G31" s="16">
        <f>SUM(G27:G30)</f>
        <v>1104964</v>
      </c>
      <c r="H31" s="16">
        <f t="shared" ref="H31:R31" si="12">SUM(H27:H30)</f>
        <v>1039120</v>
      </c>
      <c r="I31" s="16">
        <f t="shared" si="12"/>
        <v>1039120</v>
      </c>
      <c r="J31" s="16">
        <f t="shared" si="12"/>
        <v>940354</v>
      </c>
      <c r="K31" s="16">
        <f t="shared" si="12"/>
        <v>1039120</v>
      </c>
      <c r="L31" s="16">
        <f t="shared" si="12"/>
        <v>973276</v>
      </c>
      <c r="M31" s="16">
        <f t="shared" si="12"/>
        <v>709900</v>
      </c>
      <c r="N31" s="16">
        <f t="shared" si="12"/>
        <v>874510</v>
      </c>
      <c r="O31" s="16">
        <f t="shared" si="12"/>
        <v>1072042</v>
      </c>
      <c r="P31" s="16">
        <f t="shared" si="12"/>
        <v>1137886</v>
      </c>
      <c r="Q31" s="16">
        <f t="shared" si="12"/>
        <v>1072042</v>
      </c>
      <c r="R31" s="16">
        <f t="shared" si="12"/>
        <v>874510</v>
      </c>
      <c r="S31" s="16">
        <f>SUM(G31:R31)</f>
        <v>11876844</v>
      </c>
    </row>
    <row r="32" spans="1:19" s="3" customFormat="1" ht="13.5" customHeight="1" x14ac:dyDescent="0.3">
      <c r="A32" s="43"/>
      <c r="B32" s="73"/>
      <c r="C32" s="74"/>
      <c r="D32" s="51"/>
      <c r="E32" s="51"/>
      <c r="F32" s="48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 spans="1:19" s="84" customFormat="1" ht="13.5" customHeight="1" x14ac:dyDescent="0.3">
      <c r="A33" s="43" t="s">
        <v>219</v>
      </c>
      <c r="B33" s="85"/>
      <c r="C33" s="74"/>
      <c r="D33" s="48"/>
      <c r="E33" s="48"/>
      <c r="F33" s="48"/>
      <c r="G33" s="46">
        <f>G28/1.1</f>
        <v>246914.99999999997</v>
      </c>
      <c r="H33" s="46">
        <f t="shared" ref="H33:R33" si="13">H28/1.1</f>
        <v>224468.18181818179</v>
      </c>
      <c r="I33" s="46">
        <f t="shared" si="13"/>
        <v>224468.18181818179</v>
      </c>
      <c r="J33" s="46">
        <f t="shared" si="13"/>
        <v>190797.95454545453</v>
      </c>
      <c r="K33" s="46">
        <f t="shared" si="13"/>
        <v>224468.18181818179</v>
      </c>
      <c r="L33" s="46">
        <f t="shared" si="13"/>
        <v>202021.36363636362</v>
      </c>
      <c r="M33" s="46">
        <f t="shared" si="13"/>
        <v>112234.0909090909</v>
      </c>
      <c r="N33" s="46">
        <f t="shared" si="13"/>
        <v>168351.13636363635</v>
      </c>
      <c r="O33" s="46">
        <f t="shared" si="13"/>
        <v>235691.59090909088</v>
      </c>
      <c r="P33" s="46">
        <f t="shared" si="13"/>
        <v>258138.40909090906</v>
      </c>
      <c r="Q33" s="46">
        <f t="shared" si="13"/>
        <v>235691.59090909088</v>
      </c>
      <c r="R33" s="46">
        <f t="shared" si="13"/>
        <v>168351.13636363635</v>
      </c>
      <c r="S33" s="46">
        <f t="shared" ref="S33:S40" si="14">SUM(G33:R33)</f>
        <v>2491596.8181818179</v>
      </c>
    </row>
    <row r="34" spans="1:19" s="105" customFormat="1" ht="13.5" customHeight="1" x14ac:dyDescent="0.3">
      <c r="A34" s="94" t="s">
        <v>245</v>
      </c>
      <c r="B34" s="104"/>
      <c r="C34" s="101">
        <v>1.6E-2</v>
      </c>
      <c r="D34" s="96"/>
      <c r="E34" s="96"/>
      <c r="F34" s="96"/>
      <c r="G34" s="99">
        <f>(G27+G28)*$C$34</f>
        <v>11588.544</v>
      </c>
      <c r="H34" s="99">
        <f t="shared" ref="H34:R34" si="15">(H27+H28)*$C$34</f>
        <v>10535.04</v>
      </c>
      <c r="I34" s="99">
        <f t="shared" si="15"/>
        <v>10535.04</v>
      </c>
      <c r="J34" s="99">
        <f t="shared" si="15"/>
        <v>8954.7839999999997</v>
      </c>
      <c r="K34" s="99">
        <f t="shared" si="15"/>
        <v>10535.04</v>
      </c>
      <c r="L34" s="99">
        <f t="shared" si="15"/>
        <v>9481.5360000000001</v>
      </c>
      <c r="M34" s="99">
        <f t="shared" si="15"/>
        <v>5267.52</v>
      </c>
      <c r="N34" s="99">
        <f t="shared" si="15"/>
        <v>7901.28</v>
      </c>
      <c r="O34" s="99">
        <f t="shared" si="15"/>
        <v>11061.791999999999</v>
      </c>
      <c r="P34" s="99">
        <f t="shared" si="15"/>
        <v>12115.296</v>
      </c>
      <c r="Q34" s="99">
        <f t="shared" si="15"/>
        <v>11061.791999999999</v>
      </c>
      <c r="R34" s="99">
        <f t="shared" si="15"/>
        <v>7901.28</v>
      </c>
      <c r="S34" s="99">
        <f t="shared" si="14"/>
        <v>116938.944</v>
      </c>
    </row>
    <row r="35" spans="1:19" s="105" customFormat="1" ht="13.5" customHeight="1" x14ac:dyDescent="0.3">
      <c r="A35" s="94" t="s">
        <v>250</v>
      </c>
      <c r="B35" s="104"/>
      <c r="C35" s="101">
        <v>8.9999999999999993E-3</v>
      </c>
      <c r="D35" s="96"/>
      <c r="E35" s="96"/>
      <c r="F35" s="96"/>
      <c r="G35" s="99">
        <f>(G27+G28)*$C$35</f>
        <v>6518.5559999999996</v>
      </c>
      <c r="H35" s="99">
        <f t="shared" ref="H35:R35" si="16">(H27+H28)*$C$35</f>
        <v>5925.9599999999991</v>
      </c>
      <c r="I35" s="99">
        <f t="shared" si="16"/>
        <v>5925.9599999999991</v>
      </c>
      <c r="J35" s="99">
        <f t="shared" si="16"/>
        <v>5037.0659999999998</v>
      </c>
      <c r="K35" s="99">
        <f t="shared" si="16"/>
        <v>5925.9599999999991</v>
      </c>
      <c r="L35" s="99">
        <f t="shared" si="16"/>
        <v>5333.3639999999996</v>
      </c>
      <c r="M35" s="99">
        <f t="shared" si="16"/>
        <v>2962.9799999999996</v>
      </c>
      <c r="N35" s="99">
        <f t="shared" si="16"/>
        <v>4444.4699999999993</v>
      </c>
      <c r="O35" s="99">
        <f t="shared" si="16"/>
        <v>6222.2579999999998</v>
      </c>
      <c r="P35" s="99">
        <f t="shared" si="16"/>
        <v>6814.8539999999994</v>
      </c>
      <c r="Q35" s="99">
        <f t="shared" si="16"/>
        <v>6222.2579999999998</v>
      </c>
      <c r="R35" s="99">
        <f t="shared" si="16"/>
        <v>4444.4699999999993</v>
      </c>
      <c r="S35" s="99">
        <f t="shared" si="14"/>
        <v>65778.155999999988</v>
      </c>
    </row>
    <row r="36" spans="1:19" s="105" customFormat="1" ht="13.5" customHeight="1" x14ac:dyDescent="0.3">
      <c r="A36" s="94" t="s">
        <v>249</v>
      </c>
      <c r="B36" s="104"/>
      <c r="C36" s="101">
        <v>2.1999999999999999E-2</v>
      </c>
      <c r="D36" s="96"/>
      <c r="E36" s="96"/>
      <c r="F36" s="96"/>
      <c r="G36" s="99">
        <f>(G27+G28)*$C$36</f>
        <v>15934.248</v>
      </c>
      <c r="H36" s="99">
        <f t="shared" ref="H36:R36" si="17">(H27+H28)*$C$36</f>
        <v>14485.679999999998</v>
      </c>
      <c r="I36" s="99">
        <f t="shared" si="17"/>
        <v>14485.679999999998</v>
      </c>
      <c r="J36" s="99">
        <f t="shared" si="17"/>
        <v>12312.828</v>
      </c>
      <c r="K36" s="99">
        <f t="shared" si="17"/>
        <v>14485.679999999998</v>
      </c>
      <c r="L36" s="99">
        <f t="shared" si="17"/>
        <v>13037.111999999999</v>
      </c>
      <c r="M36" s="99">
        <f t="shared" si="17"/>
        <v>7242.8399999999992</v>
      </c>
      <c r="N36" s="99">
        <f t="shared" si="17"/>
        <v>10864.26</v>
      </c>
      <c r="O36" s="99">
        <f t="shared" si="17"/>
        <v>15209.964</v>
      </c>
      <c r="P36" s="99">
        <f t="shared" si="17"/>
        <v>16658.531999999999</v>
      </c>
      <c r="Q36" s="99">
        <f t="shared" si="17"/>
        <v>15209.964</v>
      </c>
      <c r="R36" s="99">
        <f t="shared" si="17"/>
        <v>10864.26</v>
      </c>
      <c r="S36" s="99">
        <f t="shared" si="14"/>
        <v>160791.04800000001</v>
      </c>
    </row>
    <row r="37" spans="1:19" s="98" customFormat="1" x14ac:dyDescent="0.3">
      <c r="A37" s="94" t="s">
        <v>221</v>
      </c>
      <c r="B37" s="95"/>
      <c r="C37" s="102">
        <v>7.4999999999999997E-2</v>
      </c>
      <c r="D37" s="96"/>
      <c r="E37" s="96"/>
      <c r="F37" s="96"/>
      <c r="G37" s="97">
        <f>G29/(1+$C$37)</f>
        <v>121562.79069767443</v>
      </c>
      <c r="H37" s="97">
        <f t="shared" ref="H37:R37" si="18">H29/(1+$C$37)</f>
        <v>121562.79069767443</v>
      </c>
      <c r="I37" s="97">
        <f t="shared" si="18"/>
        <v>121562.79069767443</v>
      </c>
      <c r="J37" s="97">
        <f t="shared" si="18"/>
        <v>121562.79069767443</v>
      </c>
      <c r="K37" s="97">
        <f t="shared" si="18"/>
        <v>121562.79069767443</v>
      </c>
      <c r="L37" s="97">
        <f t="shared" si="18"/>
        <v>121562.79069767443</v>
      </c>
      <c r="M37" s="97">
        <f t="shared" si="18"/>
        <v>121562.79069767443</v>
      </c>
      <c r="N37" s="97">
        <f t="shared" si="18"/>
        <v>121562.79069767443</v>
      </c>
      <c r="O37" s="97">
        <f t="shared" si="18"/>
        <v>121562.79069767443</v>
      </c>
      <c r="P37" s="97">
        <f t="shared" si="18"/>
        <v>121562.79069767443</v>
      </c>
      <c r="Q37" s="97">
        <f t="shared" si="18"/>
        <v>121562.79069767443</v>
      </c>
      <c r="R37" s="97">
        <f t="shared" si="18"/>
        <v>121562.79069767443</v>
      </c>
      <c r="S37" s="99">
        <f t="shared" si="14"/>
        <v>1458753.4883720933</v>
      </c>
    </row>
    <row r="38" spans="1:19" s="98" customFormat="1" x14ac:dyDescent="0.3">
      <c r="A38" s="94" t="s">
        <v>223</v>
      </c>
      <c r="B38" s="95"/>
      <c r="C38" s="103">
        <v>0.1</v>
      </c>
      <c r="D38" s="96"/>
      <c r="E38" s="96"/>
      <c r="F38" s="96"/>
      <c r="G38" s="97">
        <f>G30/(1+$C$38)</f>
        <v>227272.72727272726</v>
      </c>
      <c r="H38" s="97">
        <f t="shared" ref="H38:R38" si="19">H30/(1+$C$38)</f>
        <v>227272.72727272726</v>
      </c>
      <c r="I38" s="97">
        <f t="shared" si="19"/>
        <v>227272.72727272726</v>
      </c>
      <c r="J38" s="97">
        <f t="shared" si="19"/>
        <v>227272.72727272726</v>
      </c>
      <c r="K38" s="97">
        <f t="shared" si="19"/>
        <v>227272.72727272726</v>
      </c>
      <c r="L38" s="97">
        <f t="shared" si="19"/>
        <v>227272.72727272726</v>
      </c>
      <c r="M38" s="97">
        <f t="shared" si="19"/>
        <v>227272.72727272726</v>
      </c>
      <c r="N38" s="97">
        <f t="shared" si="19"/>
        <v>227272.72727272726</v>
      </c>
      <c r="O38" s="97">
        <f t="shared" si="19"/>
        <v>227272.72727272726</v>
      </c>
      <c r="P38" s="97">
        <f t="shared" si="19"/>
        <v>227272.72727272726</v>
      </c>
      <c r="Q38" s="97">
        <f t="shared" si="19"/>
        <v>227272.72727272726</v>
      </c>
      <c r="R38" s="97">
        <f t="shared" si="19"/>
        <v>227272.72727272726</v>
      </c>
      <c r="S38" s="99">
        <f t="shared" si="14"/>
        <v>2727272.7272727266</v>
      </c>
    </row>
    <row r="39" spans="1:19" s="98" customFormat="1" x14ac:dyDescent="0.3">
      <c r="A39" s="94" t="s">
        <v>241</v>
      </c>
      <c r="B39" s="95"/>
      <c r="C39" s="95"/>
      <c r="D39" s="96"/>
      <c r="E39" s="96"/>
      <c r="F39" s="96"/>
      <c r="G39" s="97">
        <v>0</v>
      </c>
      <c r="H39" s="97">
        <v>0</v>
      </c>
      <c r="S39" s="99">
        <f t="shared" si="14"/>
        <v>0</v>
      </c>
    </row>
    <row r="40" spans="1:19" s="98" customFormat="1" x14ac:dyDescent="0.3">
      <c r="A40" s="94" t="s">
        <v>189</v>
      </c>
      <c r="B40" s="100"/>
      <c r="C40" s="101">
        <v>6.0000000000000001E-3</v>
      </c>
      <c r="D40" s="96"/>
      <c r="E40" s="96"/>
      <c r="F40" s="96"/>
      <c r="G40" s="99">
        <f>(G27+G28)*$C$40</f>
        <v>4345.7039999999997</v>
      </c>
      <c r="H40" s="99">
        <f t="shared" ref="H40:R40" si="20">(H27+H28)*$C$40</f>
        <v>3950.64</v>
      </c>
      <c r="I40" s="99">
        <f t="shared" si="20"/>
        <v>3950.64</v>
      </c>
      <c r="J40" s="99">
        <f t="shared" si="20"/>
        <v>3358.0439999999999</v>
      </c>
      <c r="K40" s="99">
        <f t="shared" si="20"/>
        <v>3950.64</v>
      </c>
      <c r="L40" s="99">
        <f t="shared" si="20"/>
        <v>3555.576</v>
      </c>
      <c r="M40" s="99">
        <f t="shared" si="20"/>
        <v>1975.32</v>
      </c>
      <c r="N40" s="99">
        <f t="shared" si="20"/>
        <v>2962.98</v>
      </c>
      <c r="O40" s="99">
        <f t="shared" si="20"/>
        <v>4148.1720000000005</v>
      </c>
      <c r="P40" s="99">
        <f t="shared" si="20"/>
        <v>4543.2359999999999</v>
      </c>
      <c r="Q40" s="99">
        <f t="shared" si="20"/>
        <v>4148.1720000000005</v>
      </c>
      <c r="R40" s="99">
        <f t="shared" si="20"/>
        <v>2962.98</v>
      </c>
      <c r="S40" s="99">
        <f t="shared" si="14"/>
        <v>43852.103999999999</v>
      </c>
    </row>
    <row r="43" spans="1:19" x14ac:dyDescent="0.3">
      <c r="G43" t="s">
        <v>242</v>
      </c>
      <c r="H43" t="s">
        <v>243</v>
      </c>
    </row>
    <row r="49" spans="7:8" x14ac:dyDescent="0.3">
      <c r="G49">
        <v>570</v>
      </c>
      <c r="H49">
        <f>G49*1.035</f>
        <v>589.94999999999993</v>
      </c>
    </row>
  </sheetData>
  <pageMargins left="0.23622047244094491" right="0.23622047244094491" top="0.74803149606299213" bottom="0.74803149606299213" header="0.31496062992125984" footer="0.31496062992125984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186"/>
  <sheetViews>
    <sheetView topLeftCell="A57" zoomScale="130" zoomScaleNormal="130" workbookViewId="0">
      <selection activeCell="B77" sqref="B77"/>
    </sheetView>
  </sheetViews>
  <sheetFormatPr baseColWidth="10" defaultRowHeight="12.45" outlineLevelRow="1" x14ac:dyDescent="0.3"/>
  <cols>
    <col min="1" max="1" width="4.84375" style="1" customWidth="1"/>
    <col min="2" max="2" width="29" bestFit="1" customWidth="1"/>
    <col min="3" max="3" width="7.4609375" style="2" bestFit="1" customWidth="1"/>
    <col min="4" max="4" width="8" bestFit="1" customWidth="1"/>
    <col min="5" max="5" width="8.69140625" bestFit="1" customWidth="1"/>
    <col min="6" max="15" width="8" bestFit="1" customWidth="1"/>
    <col min="16" max="16" width="9.3046875" style="3" customWidth="1"/>
    <col min="17" max="17" width="11.53515625" style="84"/>
  </cols>
  <sheetData>
    <row r="1" spans="1:256" x14ac:dyDescent="0.3">
      <c r="A1" s="8" t="s">
        <v>177</v>
      </c>
      <c r="B1" s="7"/>
      <c r="C1" s="44" t="s">
        <v>124</v>
      </c>
    </row>
    <row r="3" spans="1:256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5.75" customHeight="1" x14ac:dyDescent="0.3">
      <c r="A4" s="30" t="s">
        <v>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56" x14ac:dyDescent="0.3">
      <c r="A5" s="22">
        <v>3010</v>
      </c>
      <c r="B5" s="43" t="s">
        <v>174</v>
      </c>
      <c r="C5" s="14">
        <f>P5/$P$7</f>
        <v>1</v>
      </c>
      <c r="D5" s="15">
        <f>'Fritzøe - SERVICE'!G31</f>
        <v>1104964</v>
      </c>
      <c r="E5" s="15">
        <f>'Fritzøe - SERVICE'!H31</f>
        <v>1039120</v>
      </c>
      <c r="F5" s="15">
        <f>'Fritzøe - SERVICE'!I31</f>
        <v>1039120</v>
      </c>
      <c r="G5" s="15">
        <f>'Fritzøe - SERVICE'!J31</f>
        <v>940354</v>
      </c>
      <c r="H5" s="15">
        <f>'Fritzøe - SERVICE'!K31</f>
        <v>1039120</v>
      </c>
      <c r="I5" s="15">
        <f>'Fritzøe - SERVICE'!L31</f>
        <v>973276</v>
      </c>
      <c r="J5" s="15">
        <f>'Fritzøe - SERVICE'!M31</f>
        <v>709900</v>
      </c>
      <c r="K5" s="15">
        <f>'Fritzøe - SERVICE'!N31</f>
        <v>874510</v>
      </c>
      <c r="L5" s="15">
        <f>'Fritzøe - SERVICE'!O31</f>
        <v>1072042</v>
      </c>
      <c r="M5" s="15">
        <f>'Fritzøe - SERVICE'!P31</f>
        <v>1137886</v>
      </c>
      <c r="N5" s="15">
        <f>'Fritzøe - SERVICE'!Q31</f>
        <v>1072042</v>
      </c>
      <c r="O5" s="15">
        <f>'Fritzøe - SERVICE'!R31</f>
        <v>874510</v>
      </c>
      <c r="P5" s="15">
        <f>SUM(D5:O5)</f>
        <v>11876844</v>
      </c>
    </row>
    <row r="6" spans="1:256" x14ac:dyDescent="0.3">
      <c r="A6" s="22">
        <v>3012</v>
      </c>
      <c r="B6" s="43" t="s">
        <v>172</v>
      </c>
      <c r="C6" s="14">
        <f>P6/$P$7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f>SUM(D6:O6)</f>
        <v>0</v>
      </c>
    </row>
    <row r="7" spans="1:256" s="43" customFormat="1" ht="10.3" x14ac:dyDescent="0.25">
      <c r="B7" s="20" t="s">
        <v>36</v>
      </c>
      <c r="C7" s="53">
        <f>P7/$P$7</f>
        <v>1</v>
      </c>
      <c r="D7" s="17">
        <f t="shared" ref="D7:P7" si="0">SUM(D5:D6)</f>
        <v>1104964</v>
      </c>
      <c r="E7" s="17">
        <f t="shared" si="0"/>
        <v>1039120</v>
      </c>
      <c r="F7" s="17">
        <f t="shared" si="0"/>
        <v>1039120</v>
      </c>
      <c r="G7" s="17">
        <f t="shared" si="0"/>
        <v>940354</v>
      </c>
      <c r="H7" s="17">
        <f t="shared" si="0"/>
        <v>1039120</v>
      </c>
      <c r="I7" s="17">
        <f t="shared" si="0"/>
        <v>973276</v>
      </c>
      <c r="J7" s="17">
        <f t="shared" si="0"/>
        <v>709900</v>
      </c>
      <c r="K7" s="17">
        <f t="shared" si="0"/>
        <v>874510</v>
      </c>
      <c r="L7" s="17">
        <f t="shared" si="0"/>
        <v>1072042</v>
      </c>
      <c r="M7" s="17">
        <f t="shared" si="0"/>
        <v>1137886</v>
      </c>
      <c r="N7" s="17">
        <f t="shared" si="0"/>
        <v>1072042</v>
      </c>
      <c r="O7" s="17">
        <f t="shared" si="0"/>
        <v>874510</v>
      </c>
      <c r="P7" s="17">
        <f t="shared" si="0"/>
        <v>11876844</v>
      </c>
      <c r="IV7" s="46">
        <f>SUM(D7:IU7)</f>
        <v>23753688</v>
      </c>
    </row>
    <row r="8" spans="1:256" s="21" customFormat="1" ht="15.75" customHeight="1" x14ac:dyDescent="0.25">
      <c r="B8" s="23"/>
      <c r="C8" s="1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43"/>
      <c r="IV8" s="15"/>
    </row>
    <row r="9" spans="1:256" x14ac:dyDescent="0.3">
      <c r="A9" s="23" t="s">
        <v>5</v>
      </c>
      <c r="B9" s="21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256" s="7" customFormat="1" x14ac:dyDescent="0.3">
      <c r="A10" s="22">
        <v>4300</v>
      </c>
      <c r="B10" s="43" t="s">
        <v>186</v>
      </c>
      <c r="C10" s="14">
        <f t="shared" ref="C10:C29" si="1">P10/$P$7</f>
        <v>0.2097861029564603</v>
      </c>
      <c r="D10" s="15">
        <f>'Fritzøe - SERVICE'!G33</f>
        <v>246914.99999999997</v>
      </c>
      <c r="E10" s="15">
        <f>'Fritzøe - SERVICE'!H33</f>
        <v>224468.18181818179</v>
      </c>
      <c r="F10" s="15">
        <f>'Fritzøe - SERVICE'!I33</f>
        <v>224468.18181818179</v>
      </c>
      <c r="G10" s="15">
        <f>'Fritzøe - SERVICE'!J33</f>
        <v>190797.95454545453</v>
      </c>
      <c r="H10" s="15">
        <f>'Fritzøe - SERVICE'!K33</f>
        <v>224468.18181818179</v>
      </c>
      <c r="I10" s="15">
        <f>'Fritzøe - SERVICE'!L33</f>
        <v>202021.36363636362</v>
      </c>
      <c r="J10" s="15">
        <f>'Fritzøe - SERVICE'!M33</f>
        <v>112234.0909090909</v>
      </c>
      <c r="K10" s="15">
        <f>'Fritzøe - SERVICE'!N33</f>
        <v>168351.13636363635</v>
      </c>
      <c r="L10" s="15">
        <f>'Fritzøe - SERVICE'!O33</f>
        <v>235691.59090909088</v>
      </c>
      <c r="M10" s="15">
        <f>'Fritzøe - SERVICE'!P33</f>
        <v>258138.40909090906</v>
      </c>
      <c r="N10" s="15">
        <f>'Fritzøe - SERVICE'!Q33</f>
        <v>235691.59090909088</v>
      </c>
      <c r="O10" s="15">
        <f>'Fritzøe - SERVICE'!R33</f>
        <v>168351.13636363635</v>
      </c>
      <c r="P10" s="15">
        <f t="shared" ref="P10:P28" si="2">SUM(D10:O10)</f>
        <v>2491596.8181818179</v>
      </c>
      <c r="Q10" s="106"/>
    </row>
    <row r="11" spans="1:256" s="7" customFormat="1" x14ac:dyDescent="0.3">
      <c r="A11" s="22">
        <v>4300</v>
      </c>
      <c r="B11" s="43" t="s">
        <v>171</v>
      </c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 t="shared" si="2"/>
        <v>0</v>
      </c>
      <c r="Q11" s="84"/>
    </row>
    <row r="12" spans="1:256" s="7" customFormat="1" x14ac:dyDescent="0.3">
      <c r="A12" s="22">
        <v>4350</v>
      </c>
      <c r="B12" s="43" t="s">
        <v>70</v>
      </c>
      <c r="C12" s="14">
        <f t="shared" si="1"/>
        <v>9.845961098756538E-3</v>
      </c>
      <c r="D12" s="15">
        <f>'Fritzøe - SERVICE'!G34</f>
        <v>11588.544</v>
      </c>
      <c r="E12" s="15">
        <f>'Fritzøe - SERVICE'!H34</f>
        <v>10535.04</v>
      </c>
      <c r="F12" s="15">
        <f>'Fritzøe - SERVICE'!I34</f>
        <v>10535.04</v>
      </c>
      <c r="G12" s="15">
        <f>'Fritzøe - SERVICE'!J34</f>
        <v>8954.7839999999997</v>
      </c>
      <c r="H12" s="15">
        <f>'Fritzøe - SERVICE'!K34</f>
        <v>10535.04</v>
      </c>
      <c r="I12" s="15">
        <f>'Fritzøe - SERVICE'!L34</f>
        <v>9481.5360000000001</v>
      </c>
      <c r="J12" s="15">
        <f>'Fritzøe - SERVICE'!M34</f>
        <v>5267.52</v>
      </c>
      <c r="K12" s="15">
        <f>'Fritzøe - SERVICE'!N34</f>
        <v>7901.28</v>
      </c>
      <c r="L12" s="15">
        <f>'Fritzøe - SERVICE'!O34</f>
        <v>11061.791999999999</v>
      </c>
      <c r="M12" s="15">
        <f>'Fritzøe - SERVICE'!P34</f>
        <v>12115.296</v>
      </c>
      <c r="N12" s="15">
        <f>'Fritzøe - SERVICE'!Q34</f>
        <v>11061.791999999999</v>
      </c>
      <c r="O12" s="15">
        <f>'Fritzøe - SERVICE'!R34</f>
        <v>7901.28</v>
      </c>
      <c r="P12" s="15">
        <f t="shared" si="2"/>
        <v>116938.944</v>
      </c>
      <c r="Q12" s="84"/>
    </row>
    <row r="13" spans="1:256" s="7" customFormat="1" x14ac:dyDescent="0.3">
      <c r="A13" s="22">
        <v>4500</v>
      </c>
      <c r="B13" s="43" t="s">
        <v>248</v>
      </c>
      <c r="C13" s="14">
        <f t="shared" si="1"/>
        <v>0</v>
      </c>
      <c r="D13" s="15">
        <f>'Fritzøe - SERVICE'!G39</f>
        <v>0</v>
      </c>
      <c r="E13" s="15">
        <f>'Fritzøe - SERVICE'!H39</f>
        <v>0</v>
      </c>
      <c r="F13" s="15">
        <f>'Fritzøe - SERVICE'!I39</f>
        <v>0</v>
      </c>
      <c r="G13" s="15">
        <f>'Fritzøe - SERVICE'!J39</f>
        <v>0</v>
      </c>
      <c r="H13" s="15">
        <f>'Fritzøe - SERVICE'!K39</f>
        <v>0</v>
      </c>
      <c r="I13" s="15">
        <f>'Fritzøe - SERVICE'!L39</f>
        <v>0</v>
      </c>
      <c r="J13" s="15">
        <f>'Fritzøe - SERVICE'!M39</f>
        <v>0</v>
      </c>
      <c r="K13" s="15">
        <f>'Fritzøe - SERVICE'!N39</f>
        <v>0</v>
      </c>
      <c r="L13" s="15">
        <f>'Fritzøe - SERVICE'!O39</f>
        <v>0</v>
      </c>
      <c r="M13" s="15">
        <f>'Fritzøe - SERVICE'!P39</f>
        <v>0</v>
      </c>
      <c r="N13" s="15">
        <f>'Fritzøe - SERVICE'!Q39</f>
        <v>0</v>
      </c>
      <c r="O13" s="15">
        <f>'Fritzøe - SERVICE'!R39</f>
        <v>0</v>
      </c>
      <c r="P13" s="15">
        <f t="shared" si="2"/>
        <v>0</v>
      </c>
      <c r="Q13" s="84"/>
    </row>
    <row r="14" spans="1:256" s="7" customFormat="1" x14ac:dyDescent="0.3">
      <c r="A14" s="22">
        <v>4501</v>
      </c>
      <c r="B14" s="43" t="s">
        <v>251</v>
      </c>
      <c r="C14" s="14">
        <f t="shared" si="1"/>
        <v>5.5383531180505522E-3</v>
      </c>
      <c r="D14" s="15">
        <f>'Fritzøe - SERVICE'!G35</f>
        <v>6518.5559999999996</v>
      </c>
      <c r="E14" s="15">
        <f>'Fritzøe - SERVICE'!H35</f>
        <v>5925.9599999999991</v>
      </c>
      <c r="F14" s="15">
        <f>'Fritzøe - SERVICE'!I35</f>
        <v>5925.9599999999991</v>
      </c>
      <c r="G14" s="15">
        <f>'Fritzøe - SERVICE'!J35</f>
        <v>5037.0659999999998</v>
      </c>
      <c r="H14" s="15">
        <f>'Fritzøe - SERVICE'!K35</f>
        <v>5925.9599999999991</v>
      </c>
      <c r="I14" s="15">
        <f>'Fritzøe - SERVICE'!L35</f>
        <v>5333.3639999999996</v>
      </c>
      <c r="J14" s="15">
        <f>'Fritzøe - SERVICE'!M35</f>
        <v>2962.9799999999996</v>
      </c>
      <c r="K14" s="15">
        <f>'Fritzøe - SERVICE'!N35</f>
        <v>4444.4699999999993</v>
      </c>
      <c r="L14" s="15">
        <f>'Fritzøe - SERVICE'!O35</f>
        <v>6222.2579999999998</v>
      </c>
      <c r="M14" s="15">
        <f>'Fritzøe - SERVICE'!P35</f>
        <v>6814.8539999999994</v>
      </c>
      <c r="N14" s="15">
        <f>'Fritzøe - SERVICE'!Q35</f>
        <v>6222.2579999999998</v>
      </c>
      <c r="O14" s="15">
        <f>'Fritzøe - SERVICE'!R35</f>
        <v>4444.4699999999993</v>
      </c>
      <c r="P14" s="15">
        <f t="shared" si="2"/>
        <v>65778.155999999988</v>
      </c>
      <c r="Q14" s="84"/>
    </row>
    <row r="15" spans="1:256" s="7" customFormat="1" x14ac:dyDescent="0.3">
      <c r="A15" s="22">
        <v>4502</v>
      </c>
      <c r="B15" s="43" t="s">
        <v>252</v>
      </c>
      <c r="C15" s="14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f t="shared" si="2"/>
        <v>0</v>
      </c>
      <c r="Q15" s="84"/>
    </row>
    <row r="16" spans="1:256" s="7" customFormat="1" x14ac:dyDescent="0.3">
      <c r="A16" s="22">
        <v>4503</v>
      </c>
      <c r="B16" s="43" t="s">
        <v>253</v>
      </c>
      <c r="C16" s="14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f t="shared" si="2"/>
        <v>0</v>
      </c>
      <c r="Q16" s="84"/>
    </row>
    <row r="17" spans="1:17" s="7" customFormat="1" x14ac:dyDescent="0.3">
      <c r="A17" s="22">
        <v>4504</v>
      </c>
      <c r="B17" s="43" t="s">
        <v>187</v>
      </c>
      <c r="C17" s="14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f t="shared" si="2"/>
        <v>0</v>
      </c>
      <c r="Q17" s="84"/>
    </row>
    <row r="18" spans="1:17" s="7" customFormat="1" x14ac:dyDescent="0.3">
      <c r="A18" s="22">
        <v>4506</v>
      </c>
      <c r="B18" s="43" t="s">
        <v>188</v>
      </c>
      <c r="C18" s="14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f t="shared" si="2"/>
        <v>0</v>
      </c>
      <c r="Q18" s="84"/>
    </row>
    <row r="19" spans="1:17" s="7" customFormat="1" x14ac:dyDescent="0.3">
      <c r="A19" s="22">
        <v>4507</v>
      </c>
      <c r="B19" s="43" t="s">
        <v>246</v>
      </c>
      <c r="C19" s="14">
        <f t="shared" si="1"/>
        <v>0.12282332649751847</v>
      </c>
      <c r="D19" s="15">
        <f>'Fritzøe - SERVICE'!G37</f>
        <v>121562.79069767443</v>
      </c>
      <c r="E19" s="15">
        <f>'Fritzøe - SERVICE'!H37</f>
        <v>121562.79069767443</v>
      </c>
      <c r="F19" s="15">
        <f>'Fritzøe - SERVICE'!I37</f>
        <v>121562.79069767443</v>
      </c>
      <c r="G19" s="15">
        <f>'Fritzøe - SERVICE'!J37</f>
        <v>121562.79069767443</v>
      </c>
      <c r="H19" s="15">
        <f>'Fritzøe - SERVICE'!K37</f>
        <v>121562.79069767443</v>
      </c>
      <c r="I19" s="15">
        <f>'Fritzøe - SERVICE'!L37</f>
        <v>121562.79069767443</v>
      </c>
      <c r="J19" s="15">
        <f>'Fritzøe - SERVICE'!M37</f>
        <v>121562.79069767443</v>
      </c>
      <c r="K19" s="15">
        <f>'Fritzøe - SERVICE'!N37</f>
        <v>121562.79069767443</v>
      </c>
      <c r="L19" s="15">
        <f>'Fritzøe - SERVICE'!O37</f>
        <v>121562.79069767443</v>
      </c>
      <c r="M19" s="15">
        <f>'Fritzøe - SERVICE'!P37</f>
        <v>121562.79069767443</v>
      </c>
      <c r="N19" s="15">
        <f>'Fritzøe - SERVICE'!Q37</f>
        <v>121562.79069767443</v>
      </c>
      <c r="O19" s="15">
        <f>'Fritzøe - SERVICE'!R37</f>
        <v>121562.79069767443</v>
      </c>
      <c r="P19" s="15">
        <f t="shared" si="2"/>
        <v>1458753.4883720933</v>
      </c>
      <c r="Q19" s="84"/>
    </row>
    <row r="20" spans="1:17" s="7" customFormat="1" x14ac:dyDescent="0.3">
      <c r="A20" s="22">
        <v>4508</v>
      </c>
      <c r="B20" s="43" t="s">
        <v>254</v>
      </c>
      <c r="C20" s="14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f t="shared" si="2"/>
        <v>0</v>
      </c>
      <c r="Q20" s="84"/>
    </row>
    <row r="21" spans="1:17" s="7" customFormat="1" x14ac:dyDescent="0.3">
      <c r="A21" s="22">
        <v>4510</v>
      </c>
      <c r="B21" s="43" t="s">
        <v>255</v>
      </c>
      <c r="C21" s="14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f t="shared" si="2"/>
        <v>0</v>
      </c>
      <c r="Q21" s="84"/>
    </row>
    <row r="22" spans="1:17" s="7" customFormat="1" x14ac:dyDescent="0.3">
      <c r="A22" s="22">
        <v>4511</v>
      </c>
      <c r="B22" s="43" t="s">
        <v>256</v>
      </c>
      <c r="C22" s="14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f t="shared" si="2"/>
        <v>0</v>
      </c>
      <c r="Q22" s="84"/>
    </row>
    <row r="23" spans="1:17" s="7" customFormat="1" x14ac:dyDescent="0.3">
      <c r="A23" s="22">
        <v>4512</v>
      </c>
      <c r="B23" s="43" t="s">
        <v>257</v>
      </c>
      <c r="C23" s="14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f t="shared" si="2"/>
        <v>0</v>
      </c>
      <c r="Q23" s="84"/>
    </row>
    <row r="24" spans="1:17" s="7" customFormat="1" x14ac:dyDescent="0.3">
      <c r="A24" s="22">
        <v>4513</v>
      </c>
      <c r="B24" s="43" t="s">
        <v>258</v>
      </c>
      <c r="C24" s="14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f t="shared" si="2"/>
        <v>0</v>
      </c>
      <c r="Q24" s="84"/>
    </row>
    <row r="25" spans="1:17" s="7" customFormat="1" x14ac:dyDescent="0.3">
      <c r="A25" s="22">
        <v>4514</v>
      </c>
      <c r="B25" s="43" t="s">
        <v>276</v>
      </c>
      <c r="C25" s="14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84"/>
    </row>
    <row r="26" spans="1:17" s="7" customFormat="1" x14ac:dyDescent="0.3">
      <c r="A26" s="22">
        <v>4515</v>
      </c>
      <c r="B26" s="43" t="s">
        <v>247</v>
      </c>
      <c r="C26" s="14">
        <f t="shared" si="1"/>
        <v>0.22962941394807632</v>
      </c>
      <c r="D26" s="15">
        <f>'Fritzøe - SERVICE'!G38</f>
        <v>227272.72727272726</v>
      </c>
      <c r="E26" s="15">
        <f>'Fritzøe - SERVICE'!H38</f>
        <v>227272.72727272726</v>
      </c>
      <c r="F26" s="15">
        <f>'Fritzøe - SERVICE'!I38</f>
        <v>227272.72727272726</v>
      </c>
      <c r="G26" s="15">
        <f>'Fritzøe - SERVICE'!J38</f>
        <v>227272.72727272726</v>
      </c>
      <c r="H26" s="15">
        <f>'Fritzøe - SERVICE'!K38</f>
        <v>227272.72727272726</v>
      </c>
      <c r="I26" s="15">
        <f>'Fritzøe - SERVICE'!L38</f>
        <v>227272.72727272726</v>
      </c>
      <c r="J26" s="15">
        <f>'Fritzøe - SERVICE'!M38</f>
        <v>227272.72727272726</v>
      </c>
      <c r="K26" s="15">
        <f>'Fritzøe - SERVICE'!N38</f>
        <v>227272.72727272726</v>
      </c>
      <c r="L26" s="15">
        <f>'Fritzøe - SERVICE'!O38</f>
        <v>227272.72727272726</v>
      </c>
      <c r="M26" s="15">
        <f>'Fritzøe - SERVICE'!P38</f>
        <v>227272.72727272726</v>
      </c>
      <c r="N26" s="15">
        <f>'Fritzøe - SERVICE'!Q38</f>
        <v>227272.72727272726</v>
      </c>
      <c r="O26" s="15">
        <f>'Fritzøe - SERVICE'!R38</f>
        <v>227272.72727272726</v>
      </c>
      <c r="P26" s="15">
        <f t="shared" si="2"/>
        <v>2727272.7272727266</v>
      </c>
      <c r="Q26" s="84"/>
    </row>
    <row r="27" spans="1:17" s="7" customFormat="1" x14ac:dyDescent="0.3">
      <c r="A27" s="22">
        <v>4505</v>
      </c>
      <c r="B27" s="43" t="s">
        <v>71</v>
      </c>
      <c r="C27" s="14">
        <f t="shared" si="1"/>
        <v>1.3538196510790241E-2</v>
      </c>
      <c r="D27" s="15">
        <f>'Fritzøe - SERVICE'!G36</f>
        <v>15934.248</v>
      </c>
      <c r="E27" s="15">
        <f>'Fritzøe - SERVICE'!H36</f>
        <v>14485.679999999998</v>
      </c>
      <c r="F27" s="15">
        <f>'Fritzøe - SERVICE'!I36</f>
        <v>14485.679999999998</v>
      </c>
      <c r="G27" s="15">
        <f>'Fritzøe - SERVICE'!J36</f>
        <v>12312.828</v>
      </c>
      <c r="H27" s="15">
        <f>'Fritzøe - SERVICE'!K36</f>
        <v>14485.679999999998</v>
      </c>
      <c r="I27" s="15">
        <f>'Fritzøe - SERVICE'!L36</f>
        <v>13037.111999999999</v>
      </c>
      <c r="J27" s="15">
        <f>'Fritzøe - SERVICE'!M36</f>
        <v>7242.8399999999992</v>
      </c>
      <c r="K27" s="15">
        <f>'Fritzøe - SERVICE'!N36</f>
        <v>10864.26</v>
      </c>
      <c r="L27" s="15">
        <f>'Fritzøe - SERVICE'!O36</f>
        <v>15209.964</v>
      </c>
      <c r="M27" s="15">
        <f>'Fritzøe - SERVICE'!P36</f>
        <v>16658.531999999999</v>
      </c>
      <c r="N27" s="15">
        <f>'Fritzøe - SERVICE'!Q36</f>
        <v>15209.964</v>
      </c>
      <c r="O27" s="15">
        <f>'Fritzøe - SERVICE'!R36</f>
        <v>10864.26</v>
      </c>
      <c r="P27" s="15">
        <f t="shared" si="2"/>
        <v>160791.04800000001</v>
      </c>
      <c r="Q27" s="84"/>
    </row>
    <row r="28" spans="1:17" s="7" customFormat="1" x14ac:dyDescent="0.3">
      <c r="A28" s="22">
        <v>4509</v>
      </c>
      <c r="B28" s="43" t="s">
        <v>189</v>
      </c>
      <c r="C28" s="14">
        <f t="shared" si="1"/>
        <v>3.6922354120337017E-3</v>
      </c>
      <c r="D28" s="15">
        <f>'Fritzøe - SERVICE'!G40</f>
        <v>4345.7039999999997</v>
      </c>
      <c r="E28" s="15">
        <f>'Fritzøe - SERVICE'!H40</f>
        <v>3950.64</v>
      </c>
      <c r="F28" s="15">
        <f>'Fritzøe - SERVICE'!I40</f>
        <v>3950.64</v>
      </c>
      <c r="G28" s="15">
        <f>'Fritzøe - SERVICE'!J40</f>
        <v>3358.0439999999999</v>
      </c>
      <c r="H28" s="15">
        <f>'Fritzøe - SERVICE'!K40</f>
        <v>3950.64</v>
      </c>
      <c r="I28" s="15">
        <f>'Fritzøe - SERVICE'!L40</f>
        <v>3555.576</v>
      </c>
      <c r="J28" s="15">
        <f>'Fritzøe - SERVICE'!M40</f>
        <v>1975.32</v>
      </c>
      <c r="K28" s="15">
        <f>'Fritzøe - SERVICE'!N40</f>
        <v>2962.98</v>
      </c>
      <c r="L28" s="15">
        <f>'Fritzøe - SERVICE'!O40</f>
        <v>4148.1720000000005</v>
      </c>
      <c r="M28" s="15">
        <f>'Fritzøe - SERVICE'!P40</f>
        <v>4543.2359999999999</v>
      </c>
      <c r="N28" s="15">
        <f>'Fritzøe - SERVICE'!Q40</f>
        <v>4148.1720000000005</v>
      </c>
      <c r="O28" s="15">
        <f>'Fritzøe - SERVICE'!R40</f>
        <v>2962.98</v>
      </c>
      <c r="P28" s="15">
        <f t="shared" si="2"/>
        <v>43852.103999999999</v>
      </c>
      <c r="Q28" s="84"/>
    </row>
    <row r="29" spans="1:17" x14ac:dyDescent="0.3">
      <c r="B29" s="20" t="s">
        <v>119</v>
      </c>
      <c r="C29" s="56">
        <f t="shared" si="1"/>
        <v>0.59485358954168621</v>
      </c>
      <c r="D29" s="17">
        <f t="shared" ref="D29:P29" si="3">SUM(D10:D28)</f>
        <v>634137.5699704017</v>
      </c>
      <c r="E29" s="17">
        <f t="shared" si="3"/>
        <v>608201.01978858351</v>
      </c>
      <c r="F29" s="17">
        <f t="shared" si="3"/>
        <v>608201.01978858351</v>
      </c>
      <c r="G29" s="17">
        <f t="shared" si="3"/>
        <v>569296.19451585622</v>
      </c>
      <c r="H29" s="17">
        <f t="shared" si="3"/>
        <v>608201.01978858351</v>
      </c>
      <c r="I29" s="17">
        <f t="shared" si="3"/>
        <v>582264.46960676531</v>
      </c>
      <c r="J29" s="17">
        <f t="shared" si="3"/>
        <v>478518.26887949265</v>
      </c>
      <c r="K29" s="17">
        <f t="shared" si="3"/>
        <v>543359.64433403802</v>
      </c>
      <c r="L29" s="17">
        <f t="shared" si="3"/>
        <v>621169.29487949261</v>
      </c>
      <c r="M29" s="17">
        <f t="shared" si="3"/>
        <v>647105.8450613108</v>
      </c>
      <c r="N29" s="17">
        <f t="shared" si="3"/>
        <v>621169.29487949261</v>
      </c>
      <c r="O29" s="17">
        <f t="shared" si="3"/>
        <v>543359.64433403802</v>
      </c>
      <c r="P29" s="17">
        <f t="shared" si="3"/>
        <v>7064983.2858266383</v>
      </c>
      <c r="Q29" s="108">
        <f>P29/$P$7</f>
        <v>0.59485358954168621</v>
      </c>
    </row>
    <row r="30" spans="1:17" x14ac:dyDescent="0.3">
      <c r="A30" s="22"/>
      <c r="B30" s="21"/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7" x14ac:dyDescent="0.3">
      <c r="A31" s="23" t="s">
        <v>6</v>
      </c>
      <c r="B31" s="21"/>
      <c r="C31" s="18">
        <f>P31/$P$7</f>
        <v>0.4051464104583139</v>
      </c>
      <c r="D31" s="16">
        <f t="shared" ref="D31:O31" si="4">D7-D29</f>
        <v>470826.4300295983</v>
      </c>
      <c r="E31" s="16">
        <f t="shared" si="4"/>
        <v>430918.98021141649</v>
      </c>
      <c r="F31" s="16">
        <f t="shared" si="4"/>
        <v>430918.98021141649</v>
      </c>
      <c r="G31" s="16">
        <f t="shared" si="4"/>
        <v>371057.80548414378</v>
      </c>
      <c r="H31" s="16">
        <f t="shared" si="4"/>
        <v>430918.98021141649</v>
      </c>
      <c r="I31" s="16">
        <f t="shared" si="4"/>
        <v>391011.53039323469</v>
      </c>
      <c r="J31" s="16">
        <f t="shared" si="4"/>
        <v>231381.73112050735</v>
      </c>
      <c r="K31" s="16">
        <f t="shared" si="4"/>
        <v>331150.35566596198</v>
      </c>
      <c r="L31" s="16">
        <f t="shared" si="4"/>
        <v>450872.70512050739</v>
      </c>
      <c r="M31" s="16">
        <f t="shared" si="4"/>
        <v>490780.1549386892</v>
      </c>
      <c r="N31" s="16">
        <f t="shared" si="4"/>
        <v>450872.70512050739</v>
      </c>
      <c r="O31" s="16">
        <f t="shared" si="4"/>
        <v>331150.35566596198</v>
      </c>
      <c r="P31" s="16">
        <f>SUM(D31:O31)</f>
        <v>4811860.7141733626</v>
      </c>
      <c r="Q31" s="107"/>
    </row>
    <row r="32" spans="1:17" x14ac:dyDescent="0.3">
      <c r="A32" s="22"/>
      <c r="B32" s="21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7" x14ac:dyDescent="0.3">
      <c r="A33" s="23" t="s">
        <v>207</v>
      </c>
      <c r="B33" s="21"/>
      <c r="C33" s="14"/>
      <c r="D33" s="15"/>
      <c r="E33" s="15"/>
      <c r="F33" s="15"/>
      <c r="G33" s="58"/>
      <c r="H33" s="58"/>
      <c r="I33" s="58"/>
      <c r="J33" s="58"/>
      <c r="K33" s="58"/>
      <c r="L33" s="58"/>
      <c r="M33" s="58"/>
      <c r="N33" s="58"/>
      <c r="O33" s="58"/>
      <c r="P33" s="15"/>
    </row>
    <row r="34" spans="1:17" x14ac:dyDescent="0.3">
      <c r="A34" s="22">
        <v>5000</v>
      </c>
      <c r="B34" s="43" t="s">
        <v>131</v>
      </c>
      <c r="C34" s="14">
        <f t="shared" ref="C34:C46" si="5">P34/$P$7</f>
        <v>0.23762907047528789</v>
      </c>
      <c r="D34" s="15">
        <f>'Fritzøe - SERVICE'!G20+'Fritzøe - SERVICE'!G21</f>
        <v>274797.19476923079</v>
      </c>
      <c r="E34" s="15">
        <f>'Fritzøe - SERVICE'!H20+'Fritzøe - SERVICE'!H21</f>
        <v>237753.96923076926</v>
      </c>
      <c r="F34" s="15">
        <f>'Fritzøe - SERVICE'!I20+'Fritzøe - SERVICE'!I21</f>
        <v>237753.96923076926</v>
      </c>
      <c r="G34" s="15">
        <f>'Fritzøe - SERVICE'!J20+'Fritzøe - SERVICE'!J21</f>
        <v>247941.71868461536</v>
      </c>
      <c r="H34" s="15">
        <f>'Fritzøe - SERVICE'!K20+'Fritzøe - SERVICE'!K21</f>
        <v>284496.39145384618</v>
      </c>
      <c r="I34" s="15">
        <f>'Fritzøe - SERVICE'!L20+'Fritzøe - SERVICE'!L21</f>
        <v>232927.56094615383</v>
      </c>
      <c r="J34" s="15">
        <f>'Fritzøe - SERVICE'!M20+'Fritzøe - SERVICE'!M21</f>
        <v>121848.90923076923</v>
      </c>
      <c r="K34" s="15">
        <f>'Fritzøe - SERVICE'!N20+'Fritzøe - SERVICE'!N21</f>
        <v>182773.36384615384</v>
      </c>
      <c r="L34" s="15">
        <f>'Fritzøe - SERVICE'!O20+'Fritzøe - SERVICE'!O21</f>
        <v>255882.70938461533</v>
      </c>
      <c r="M34" s="15">
        <f>'Fritzøe - SERVICE'!P20+'Fritzøe - SERVICE'!P21</f>
        <v>280252.4912307692</v>
      </c>
      <c r="N34" s="15">
        <f>'Fritzøe - SERVICE'!Q20+'Fritzøe - SERVICE'!Q21</f>
        <v>255882.70938461533</v>
      </c>
      <c r="O34" s="15">
        <f>'Fritzøe - SERVICE'!R20+'Fritzøe - SERVICE'!R21</f>
        <v>209972.41250769229</v>
      </c>
      <c r="P34" s="15">
        <f t="shared" ref="P34:P40" si="6">SUM(D34:O34)</f>
        <v>2822283.3999000001</v>
      </c>
    </row>
    <row r="35" spans="1:17" x14ac:dyDescent="0.3">
      <c r="A35" s="22">
        <v>5011</v>
      </c>
      <c r="B35" s="43" t="s">
        <v>125</v>
      </c>
      <c r="C35" s="14">
        <f t="shared" si="5"/>
        <v>3.031108264114608E-3</v>
      </c>
      <c r="D35" s="15">
        <v>3000</v>
      </c>
      <c r="E35" s="15">
        <f>D35</f>
        <v>3000</v>
      </c>
      <c r="F35" s="15">
        <f t="shared" ref="F35:O35" si="7">E35</f>
        <v>3000</v>
      </c>
      <c r="G35" s="15">
        <f t="shared" si="7"/>
        <v>3000</v>
      </c>
      <c r="H35" s="15">
        <f t="shared" si="7"/>
        <v>3000</v>
      </c>
      <c r="I35" s="15">
        <f t="shared" si="7"/>
        <v>3000</v>
      </c>
      <c r="J35" s="15">
        <f t="shared" si="7"/>
        <v>3000</v>
      </c>
      <c r="K35" s="15">
        <f t="shared" si="7"/>
        <v>3000</v>
      </c>
      <c r="L35" s="15">
        <f t="shared" si="7"/>
        <v>3000</v>
      </c>
      <c r="M35" s="15">
        <f t="shared" si="7"/>
        <v>3000</v>
      </c>
      <c r="N35" s="15">
        <f t="shared" si="7"/>
        <v>3000</v>
      </c>
      <c r="O35" s="15">
        <f t="shared" si="7"/>
        <v>3000</v>
      </c>
      <c r="P35" s="15">
        <f t="shared" si="6"/>
        <v>36000</v>
      </c>
    </row>
    <row r="36" spans="1:17" x14ac:dyDescent="0.3">
      <c r="A36" s="22">
        <v>5092</v>
      </c>
      <c r="B36" s="43" t="s">
        <v>132</v>
      </c>
      <c r="C36" s="14">
        <f t="shared" si="5"/>
        <v>2.8879221448728298E-2</v>
      </c>
      <c r="D36" s="15">
        <f>SUM(D34:D35)*12/100</f>
        <v>33335.663372307696</v>
      </c>
      <c r="E36" s="15">
        <f t="shared" ref="E36:O36" si="8">SUM(E34:E35)*12/100</f>
        <v>28890.476307692312</v>
      </c>
      <c r="F36" s="15">
        <f t="shared" si="8"/>
        <v>28890.476307692312</v>
      </c>
      <c r="G36" s="15">
        <f t="shared" si="8"/>
        <v>30113.006242153846</v>
      </c>
      <c r="H36" s="15">
        <f t="shared" si="8"/>
        <v>34499.566974461544</v>
      </c>
      <c r="I36" s="15">
        <f t="shared" si="8"/>
        <v>28311.307313538458</v>
      </c>
      <c r="J36" s="15">
        <f t="shared" si="8"/>
        <v>14981.869107692306</v>
      </c>
      <c r="K36" s="15">
        <f t="shared" si="8"/>
        <v>22292.803661538459</v>
      </c>
      <c r="L36" s="15">
        <f t="shared" si="8"/>
        <v>31065.925126153841</v>
      </c>
      <c r="M36" s="15">
        <f t="shared" si="8"/>
        <v>33990.298947692303</v>
      </c>
      <c r="N36" s="15">
        <f t="shared" si="8"/>
        <v>31065.925126153841</v>
      </c>
      <c r="O36" s="15">
        <f t="shared" si="8"/>
        <v>25556.689500923072</v>
      </c>
      <c r="P36" s="15">
        <f t="shared" si="6"/>
        <v>342994.007988</v>
      </c>
    </row>
    <row r="37" spans="1:17" x14ac:dyDescent="0.3">
      <c r="A37" s="22">
        <v>5110</v>
      </c>
      <c r="B37" s="21" t="s">
        <v>46</v>
      </c>
      <c r="C37" s="14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f t="shared" si="6"/>
        <v>0</v>
      </c>
    </row>
    <row r="38" spans="1:17" x14ac:dyDescent="0.3">
      <c r="A38" s="22">
        <v>5330</v>
      </c>
      <c r="B38" s="21" t="s">
        <v>20</v>
      </c>
      <c r="C38" s="14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f t="shared" si="6"/>
        <v>0</v>
      </c>
    </row>
    <row r="39" spans="1:17" ht="12" customHeight="1" x14ac:dyDescent="0.3">
      <c r="A39" s="22">
        <v>5400</v>
      </c>
      <c r="B39" s="21" t="s">
        <v>7</v>
      </c>
      <c r="C39" s="14">
        <f t="shared" si="5"/>
        <v>1.9012154120412791E-2</v>
      </c>
      <c r="D39" s="15">
        <f t="shared" ref="D39:O39" si="9">SUM(D34:D35)*7.9%</f>
        <v>21945.978386769231</v>
      </c>
      <c r="E39" s="15">
        <f t="shared" si="9"/>
        <v>19019.563569230773</v>
      </c>
      <c r="F39" s="15">
        <f t="shared" si="9"/>
        <v>19019.563569230773</v>
      </c>
      <c r="G39" s="15">
        <f t="shared" si="9"/>
        <v>19824.395776084613</v>
      </c>
      <c r="H39" s="15">
        <f t="shared" si="9"/>
        <v>22712.214924853848</v>
      </c>
      <c r="I39" s="15">
        <f t="shared" si="9"/>
        <v>18638.277314746152</v>
      </c>
      <c r="J39" s="15">
        <f t="shared" si="9"/>
        <v>9863.0638292307704</v>
      </c>
      <c r="K39" s="15">
        <f t="shared" si="9"/>
        <v>14676.095743846154</v>
      </c>
      <c r="L39" s="15">
        <f t="shared" si="9"/>
        <v>20451.73404138461</v>
      </c>
      <c r="M39" s="15">
        <f t="shared" si="9"/>
        <v>22376.946807230768</v>
      </c>
      <c r="N39" s="15">
        <f t="shared" si="9"/>
        <v>20451.73404138461</v>
      </c>
      <c r="O39" s="15">
        <f t="shared" si="9"/>
        <v>16824.82058810769</v>
      </c>
      <c r="P39" s="15">
        <f t="shared" si="6"/>
        <v>225804.38859209995</v>
      </c>
    </row>
    <row r="40" spans="1:17" x14ac:dyDescent="0.3">
      <c r="A40" s="22">
        <v>5405</v>
      </c>
      <c r="B40" s="21" t="s">
        <v>24</v>
      </c>
      <c r="C40" s="14">
        <f t="shared" si="5"/>
        <v>2.2814584944495352E-3</v>
      </c>
      <c r="D40" s="15">
        <f t="shared" ref="D40:O40" si="10">SUM(D36*7.9%)</f>
        <v>2633.517406412308</v>
      </c>
      <c r="E40" s="15">
        <f t="shared" si="10"/>
        <v>2282.3476283076925</v>
      </c>
      <c r="F40" s="15">
        <f t="shared" si="10"/>
        <v>2282.3476283076925</v>
      </c>
      <c r="G40" s="15">
        <f t="shared" si="10"/>
        <v>2378.9274931301538</v>
      </c>
      <c r="H40" s="15">
        <f t="shared" si="10"/>
        <v>2725.4657909824618</v>
      </c>
      <c r="I40" s="15">
        <f t="shared" si="10"/>
        <v>2236.5932777695384</v>
      </c>
      <c r="J40" s="15">
        <f t="shared" si="10"/>
        <v>1183.5676595076923</v>
      </c>
      <c r="K40" s="15">
        <f t="shared" si="10"/>
        <v>1761.1314892615383</v>
      </c>
      <c r="L40" s="15">
        <f t="shared" si="10"/>
        <v>2454.2080849661534</v>
      </c>
      <c r="M40" s="15">
        <f t="shared" si="10"/>
        <v>2685.233616867692</v>
      </c>
      <c r="N40" s="15">
        <f t="shared" si="10"/>
        <v>2454.2080849661534</v>
      </c>
      <c r="O40" s="15">
        <f t="shared" si="10"/>
        <v>2018.9784705729228</v>
      </c>
      <c r="P40" s="15">
        <f t="shared" si="6"/>
        <v>27096.526631051998</v>
      </c>
    </row>
    <row r="41" spans="1:17" x14ac:dyDescent="0.3">
      <c r="B41" s="20" t="s">
        <v>208</v>
      </c>
      <c r="C41" s="53">
        <f>P41/$P$7</f>
        <v>0.29083301280299312</v>
      </c>
      <c r="D41" s="17">
        <f>SUM(D34:D40)</f>
        <v>335712.35393471998</v>
      </c>
      <c r="E41" s="17">
        <f t="shared" ref="E41:O41" si="11">SUM(E34:E40)</f>
        <v>290946.35673600005</v>
      </c>
      <c r="F41" s="17">
        <f t="shared" si="11"/>
        <v>290946.35673600005</v>
      </c>
      <c r="G41" s="17">
        <f t="shared" si="11"/>
        <v>303258.04819598398</v>
      </c>
      <c r="H41" s="17">
        <f t="shared" si="11"/>
        <v>347433.63914414402</v>
      </c>
      <c r="I41" s="17">
        <f t="shared" si="11"/>
        <v>285113.73885220796</v>
      </c>
      <c r="J41" s="17">
        <f t="shared" si="11"/>
        <v>150877.4098272</v>
      </c>
      <c r="K41" s="17">
        <f t="shared" si="11"/>
        <v>224503.39474079999</v>
      </c>
      <c r="L41" s="17">
        <f t="shared" si="11"/>
        <v>312854.57663711993</v>
      </c>
      <c r="M41" s="17">
        <f t="shared" si="11"/>
        <v>342304.97060255997</v>
      </c>
      <c r="N41" s="17">
        <f t="shared" si="11"/>
        <v>312854.57663711993</v>
      </c>
      <c r="O41" s="17">
        <f t="shared" si="11"/>
        <v>257372.90106729596</v>
      </c>
      <c r="P41" s="17">
        <f>SUM(P34:P40)</f>
        <v>3454178.3231111518</v>
      </c>
      <c r="Q41" s="107"/>
    </row>
    <row r="42" spans="1:17" x14ac:dyDescent="0.3">
      <c r="A42" s="22"/>
      <c r="B42" s="21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7" x14ac:dyDescent="0.3">
      <c r="A43" s="23" t="s">
        <v>209</v>
      </c>
      <c r="B43" s="21"/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7" s="7" customFormat="1" x14ac:dyDescent="0.3">
      <c r="A44" s="22">
        <v>5920</v>
      </c>
      <c r="B44" s="21" t="s">
        <v>55</v>
      </c>
      <c r="C44" s="14">
        <f t="shared" si="5"/>
        <v>1.0103694213715361E-3</v>
      </c>
      <c r="D44" s="93">
        <v>1000</v>
      </c>
      <c r="E44" s="15">
        <f>D44</f>
        <v>1000</v>
      </c>
      <c r="F44" s="15">
        <f t="shared" ref="F44:O44" si="12">E44</f>
        <v>1000</v>
      </c>
      <c r="G44" s="15">
        <f t="shared" si="12"/>
        <v>1000</v>
      </c>
      <c r="H44" s="15">
        <f t="shared" si="12"/>
        <v>1000</v>
      </c>
      <c r="I44" s="15">
        <f t="shared" si="12"/>
        <v>1000</v>
      </c>
      <c r="J44" s="15">
        <f t="shared" si="12"/>
        <v>1000</v>
      </c>
      <c r="K44" s="15">
        <f t="shared" si="12"/>
        <v>1000</v>
      </c>
      <c r="L44" s="15">
        <f t="shared" si="12"/>
        <v>1000</v>
      </c>
      <c r="M44" s="15">
        <f t="shared" si="12"/>
        <v>1000</v>
      </c>
      <c r="N44" s="15">
        <f t="shared" si="12"/>
        <v>1000</v>
      </c>
      <c r="O44" s="15">
        <f t="shared" si="12"/>
        <v>1000</v>
      </c>
      <c r="P44" s="15">
        <f>SUM(D44:O44)</f>
        <v>12000</v>
      </c>
      <c r="Q44" s="84"/>
    </row>
    <row r="45" spans="1:17" x14ac:dyDescent="0.3">
      <c r="A45" s="22">
        <v>5945</v>
      </c>
      <c r="B45" s="43" t="s">
        <v>133</v>
      </c>
      <c r="C45" s="14">
        <f t="shared" si="5"/>
        <v>7.8417593256844987E-3</v>
      </c>
      <c r="D45" s="15">
        <f>D34*3.3/100</f>
        <v>9068.3074273846159</v>
      </c>
      <c r="E45" s="15">
        <f t="shared" ref="E45:O45" si="13">E34*3.3/100</f>
        <v>7845.8809846153854</v>
      </c>
      <c r="F45" s="15">
        <f t="shared" si="13"/>
        <v>7845.8809846153854</v>
      </c>
      <c r="G45" s="15">
        <f t="shared" si="13"/>
        <v>8182.0767165923062</v>
      </c>
      <c r="H45" s="15">
        <f t="shared" si="13"/>
        <v>9388.3809179769232</v>
      </c>
      <c r="I45" s="15">
        <f t="shared" si="13"/>
        <v>7686.609511223076</v>
      </c>
      <c r="J45" s="15">
        <f t="shared" si="13"/>
        <v>4021.0140046153847</v>
      </c>
      <c r="K45" s="15">
        <f t="shared" si="13"/>
        <v>6031.5210069230761</v>
      </c>
      <c r="L45" s="15">
        <f t="shared" si="13"/>
        <v>8444.1294096923048</v>
      </c>
      <c r="M45" s="15">
        <f t="shared" si="13"/>
        <v>9248.3322106153828</v>
      </c>
      <c r="N45" s="15">
        <f t="shared" si="13"/>
        <v>8444.1294096923048</v>
      </c>
      <c r="O45" s="15">
        <f t="shared" si="13"/>
        <v>6929.0896127538454</v>
      </c>
      <c r="P45" s="15">
        <f>SUM(D45:O45)</f>
        <v>93135.352196699983</v>
      </c>
    </row>
    <row r="46" spans="1:17" x14ac:dyDescent="0.3">
      <c r="A46" s="22">
        <v>5990</v>
      </c>
      <c r="B46" s="21" t="s">
        <v>8</v>
      </c>
      <c r="C46" s="14">
        <f t="shared" si="5"/>
        <v>1.515554132057304E-3</v>
      </c>
      <c r="D46" s="15">
        <v>1500</v>
      </c>
      <c r="E46" s="15">
        <f>D46</f>
        <v>1500</v>
      </c>
      <c r="F46" s="15">
        <f t="shared" ref="F46:O46" si="14">E46</f>
        <v>1500</v>
      </c>
      <c r="G46" s="15">
        <f t="shared" si="14"/>
        <v>1500</v>
      </c>
      <c r="H46" s="15">
        <f t="shared" si="14"/>
        <v>1500</v>
      </c>
      <c r="I46" s="15">
        <f t="shared" si="14"/>
        <v>1500</v>
      </c>
      <c r="J46" s="15">
        <f t="shared" si="14"/>
        <v>1500</v>
      </c>
      <c r="K46" s="15">
        <f t="shared" si="14"/>
        <v>1500</v>
      </c>
      <c r="L46" s="15">
        <f t="shared" si="14"/>
        <v>1500</v>
      </c>
      <c r="M46" s="15">
        <f t="shared" si="14"/>
        <v>1500</v>
      </c>
      <c r="N46" s="15">
        <f t="shared" si="14"/>
        <v>1500</v>
      </c>
      <c r="O46" s="15">
        <f t="shared" si="14"/>
        <v>1500</v>
      </c>
      <c r="P46" s="15">
        <f>SUM(D46:O46)</f>
        <v>18000</v>
      </c>
    </row>
    <row r="47" spans="1:17" x14ac:dyDescent="0.3">
      <c r="A47" s="23"/>
      <c r="B47" s="20" t="s">
        <v>210</v>
      </c>
      <c r="C47" s="56">
        <f>P47/$P$7</f>
        <v>1.0367682879113339E-2</v>
      </c>
      <c r="D47" s="17">
        <f>SUM(D44:D46)</f>
        <v>11568.307427384616</v>
      </c>
      <c r="E47" s="17">
        <f t="shared" ref="E47:O47" si="15">SUM(E44:E46)</f>
        <v>10345.880984615385</v>
      </c>
      <c r="F47" s="17">
        <f t="shared" si="15"/>
        <v>10345.880984615385</v>
      </c>
      <c r="G47" s="17">
        <f t="shared" si="15"/>
        <v>10682.076716592306</v>
      </c>
      <c r="H47" s="17">
        <f t="shared" si="15"/>
        <v>11888.380917976923</v>
      </c>
      <c r="I47" s="17">
        <f t="shared" si="15"/>
        <v>10186.609511223076</v>
      </c>
      <c r="J47" s="17">
        <f t="shared" si="15"/>
        <v>6521.0140046153847</v>
      </c>
      <c r="K47" s="17">
        <f t="shared" si="15"/>
        <v>8531.5210069230761</v>
      </c>
      <c r="L47" s="17">
        <f t="shared" si="15"/>
        <v>10944.129409692305</v>
      </c>
      <c r="M47" s="17">
        <f t="shared" si="15"/>
        <v>11748.332210615383</v>
      </c>
      <c r="N47" s="17">
        <f t="shared" si="15"/>
        <v>10944.129409692305</v>
      </c>
      <c r="O47" s="17">
        <f t="shared" si="15"/>
        <v>9429.0896127538454</v>
      </c>
      <c r="P47" s="17">
        <f>SUM(P44:P46)</f>
        <v>123135.35219669998</v>
      </c>
    </row>
    <row r="48" spans="1:17" x14ac:dyDescent="0.3">
      <c r="A48" s="23"/>
      <c r="B48" s="23"/>
      <c r="C48" s="18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7" x14ac:dyDescent="0.3">
      <c r="A49" s="23"/>
      <c r="B49" s="23" t="s">
        <v>211</v>
      </c>
      <c r="C49" s="18"/>
      <c r="D49" s="16">
        <f>D41+D47</f>
        <v>347280.66136210458</v>
      </c>
      <c r="E49" s="16">
        <f t="shared" ref="E49:O49" si="16">E41+E47</f>
        <v>301292.23772061541</v>
      </c>
      <c r="F49" s="16">
        <f t="shared" si="16"/>
        <v>301292.23772061541</v>
      </c>
      <c r="G49" s="16">
        <f t="shared" si="16"/>
        <v>313940.12491257628</v>
      </c>
      <c r="H49" s="16">
        <f t="shared" si="16"/>
        <v>359322.02006212092</v>
      </c>
      <c r="I49" s="16">
        <f t="shared" si="16"/>
        <v>295300.34836343105</v>
      </c>
      <c r="J49" s="16">
        <f t="shared" si="16"/>
        <v>157398.42383181539</v>
      </c>
      <c r="K49" s="16">
        <f t="shared" si="16"/>
        <v>233034.91574772308</v>
      </c>
      <c r="L49" s="16">
        <f t="shared" si="16"/>
        <v>323798.70604681224</v>
      </c>
      <c r="M49" s="16">
        <f t="shared" si="16"/>
        <v>354053.30281317537</v>
      </c>
      <c r="N49" s="16">
        <f t="shared" si="16"/>
        <v>323798.70604681224</v>
      </c>
      <c r="O49" s="16">
        <f t="shared" si="16"/>
        <v>266801.99068004981</v>
      </c>
      <c r="P49" s="16">
        <f>P41+P47</f>
        <v>3577313.6753078518</v>
      </c>
      <c r="Q49" s="108">
        <f>P49/$P$7</f>
        <v>0.30120069568210645</v>
      </c>
    </row>
    <row r="50" spans="1:17" x14ac:dyDescent="0.3">
      <c r="A50" s="23"/>
      <c r="B50" s="23"/>
      <c r="C50" s="18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07"/>
    </row>
    <row r="51" spans="1:17" x14ac:dyDescent="0.3">
      <c r="A51" s="23" t="s">
        <v>244</v>
      </c>
      <c r="B51" s="21"/>
      <c r="C51" s="18">
        <f>P51/$P$7</f>
        <v>0.10394571477620745</v>
      </c>
      <c r="D51" s="16">
        <f>D31-D49</f>
        <v>123545.76866749371</v>
      </c>
      <c r="E51" s="16">
        <f t="shared" ref="E51:P51" si="17">E31-E49</f>
        <v>129626.74249080109</v>
      </c>
      <c r="F51" s="16">
        <f t="shared" si="17"/>
        <v>129626.74249080109</v>
      </c>
      <c r="G51" s="16">
        <f t="shared" si="17"/>
        <v>57117.6805715675</v>
      </c>
      <c r="H51" s="16">
        <f t="shared" si="17"/>
        <v>71596.96014929557</v>
      </c>
      <c r="I51" s="16">
        <f t="shared" si="17"/>
        <v>95711.182029803633</v>
      </c>
      <c r="J51" s="16">
        <f t="shared" si="17"/>
        <v>73983.307288691954</v>
      </c>
      <c r="K51" s="16">
        <f t="shared" si="17"/>
        <v>98115.439918238902</v>
      </c>
      <c r="L51" s="16">
        <f t="shared" si="17"/>
        <v>127073.99907369516</v>
      </c>
      <c r="M51" s="16">
        <f t="shared" si="17"/>
        <v>136726.85212551383</v>
      </c>
      <c r="N51" s="16">
        <f t="shared" si="17"/>
        <v>127073.99907369516</v>
      </c>
      <c r="O51" s="16">
        <f t="shared" si="17"/>
        <v>64348.364985912165</v>
      </c>
      <c r="P51" s="16">
        <f t="shared" si="17"/>
        <v>1234547.0388655108</v>
      </c>
      <c r="Q51" s="108">
        <f>P51/$P$7</f>
        <v>0.10394571477620745</v>
      </c>
    </row>
    <row r="52" spans="1:17" x14ac:dyDescent="0.3">
      <c r="A52" s="22"/>
      <c r="B52" s="21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7" x14ac:dyDescent="0.3">
      <c r="A53" s="23" t="s">
        <v>9</v>
      </c>
      <c r="B53" s="21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7" x14ac:dyDescent="0.3">
      <c r="A54" s="22">
        <v>6000</v>
      </c>
      <c r="B54" s="21" t="s">
        <v>21</v>
      </c>
      <c r="C54" s="14">
        <f>P54/$P$7</f>
        <v>3.031108264114608E-3</v>
      </c>
      <c r="D54" s="15">
        <v>3000</v>
      </c>
      <c r="E54" s="15">
        <f>D54</f>
        <v>3000</v>
      </c>
      <c r="F54" s="15">
        <f t="shared" ref="F54:O54" si="18">E54</f>
        <v>3000</v>
      </c>
      <c r="G54" s="15">
        <f t="shared" si="18"/>
        <v>3000</v>
      </c>
      <c r="H54" s="15">
        <f t="shared" si="18"/>
        <v>3000</v>
      </c>
      <c r="I54" s="15">
        <f t="shared" si="18"/>
        <v>3000</v>
      </c>
      <c r="J54" s="15">
        <f t="shared" si="18"/>
        <v>3000</v>
      </c>
      <c r="K54" s="15">
        <f t="shared" si="18"/>
        <v>3000</v>
      </c>
      <c r="L54" s="15">
        <f t="shared" si="18"/>
        <v>3000</v>
      </c>
      <c r="M54" s="15">
        <f t="shared" si="18"/>
        <v>3000</v>
      </c>
      <c r="N54" s="15">
        <f t="shared" si="18"/>
        <v>3000</v>
      </c>
      <c r="O54" s="15">
        <f t="shared" si="18"/>
        <v>3000</v>
      </c>
      <c r="P54" s="15">
        <f>SUM(D54:O54)</f>
        <v>36000</v>
      </c>
    </row>
    <row r="55" spans="1:17" x14ac:dyDescent="0.3">
      <c r="A55" s="23"/>
      <c r="B55" s="20" t="s">
        <v>37</v>
      </c>
      <c r="C55" s="26">
        <f>P55/$P$7</f>
        <v>3.031108264114608E-3</v>
      </c>
      <c r="D55" s="17">
        <f t="shared" ref="D55:P55" si="19">SUM(D54:D54)</f>
        <v>3000</v>
      </c>
      <c r="E55" s="17">
        <f t="shared" si="19"/>
        <v>3000</v>
      </c>
      <c r="F55" s="17">
        <f t="shared" si="19"/>
        <v>3000</v>
      </c>
      <c r="G55" s="17">
        <f t="shared" si="19"/>
        <v>3000</v>
      </c>
      <c r="H55" s="17">
        <f t="shared" si="19"/>
        <v>3000</v>
      </c>
      <c r="I55" s="17">
        <f t="shared" si="19"/>
        <v>3000</v>
      </c>
      <c r="J55" s="17">
        <f t="shared" si="19"/>
        <v>3000</v>
      </c>
      <c r="K55" s="17">
        <f t="shared" si="19"/>
        <v>3000</v>
      </c>
      <c r="L55" s="17">
        <f t="shared" si="19"/>
        <v>3000</v>
      </c>
      <c r="M55" s="17">
        <f t="shared" si="19"/>
        <v>3000</v>
      </c>
      <c r="N55" s="17">
        <f t="shared" si="19"/>
        <v>3000</v>
      </c>
      <c r="O55" s="17">
        <f t="shared" si="19"/>
        <v>3000</v>
      </c>
      <c r="P55" s="17">
        <f t="shared" si="19"/>
        <v>36000</v>
      </c>
    </row>
    <row r="56" spans="1:17" x14ac:dyDescent="0.3">
      <c r="A56" s="22"/>
      <c r="B56" s="21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7" x14ac:dyDescent="0.3">
      <c r="A57" s="23" t="s">
        <v>330</v>
      </c>
      <c r="B57" s="21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7" s="7" customFormat="1" x14ac:dyDescent="0.3">
      <c r="A58" s="22">
        <v>6300</v>
      </c>
      <c r="B58" s="21" t="s">
        <v>18</v>
      </c>
      <c r="C58" s="14">
        <f>P58/$P$7</f>
        <v>4.6654818401252037E-3</v>
      </c>
      <c r="D58" s="15">
        <f>15392*30%</f>
        <v>4617.5999999999995</v>
      </c>
      <c r="E58" s="15">
        <f>D58</f>
        <v>4617.5999999999995</v>
      </c>
      <c r="F58" s="15">
        <f t="shared" ref="F58:O61" si="20">E58</f>
        <v>4617.5999999999995</v>
      </c>
      <c r="G58" s="15">
        <f t="shared" si="20"/>
        <v>4617.5999999999995</v>
      </c>
      <c r="H58" s="15">
        <f t="shared" si="20"/>
        <v>4617.5999999999995</v>
      </c>
      <c r="I58" s="15">
        <f t="shared" si="20"/>
        <v>4617.5999999999995</v>
      </c>
      <c r="J58" s="15">
        <f t="shared" si="20"/>
        <v>4617.5999999999995</v>
      </c>
      <c r="K58" s="15">
        <f t="shared" si="20"/>
        <v>4617.5999999999995</v>
      </c>
      <c r="L58" s="15">
        <f t="shared" si="20"/>
        <v>4617.5999999999995</v>
      </c>
      <c r="M58" s="15">
        <f t="shared" si="20"/>
        <v>4617.5999999999995</v>
      </c>
      <c r="N58" s="15">
        <f t="shared" si="20"/>
        <v>4617.5999999999995</v>
      </c>
      <c r="O58" s="15">
        <f t="shared" si="20"/>
        <v>4617.5999999999995</v>
      </c>
      <c r="P58" s="15">
        <f>SUM(D58:O58)</f>
        <v>55411.19999999999</v>
      </c>
      <c r="Q58" s="84"/>
    </row>
    <row r="59" spans="1:17" ht="12" customHeight="1" x14ac:dyDescent="0.3">
      <c r="A59" s="22">
        <v>6340</v>
      </c>
      <c r="B59" s="43" t="s">
        <v>135</v>
      </c>
      <c r="C59" s="14">
        <f>P59/$P$7</f>
        <v>5.5560214481220757E-4</v>
      </c>
      <c r="D59" s="15">
        <f>1833*30%</f>
        <v>549.9</v>
      </c>
      <c r="E59" s="15">
        <f>D59</f>
        <v>549.9</v>
      </c>
      <c r="F59" s="15">
        <f t="shared" si="20"/>
        <v>549.9</v>
      </c>
      <c r="G59" s="15">
        <f t="shared" si="20"/>
        <v>549.9</v>
      </c>
      <c r="H59" s="15">
        <f t="shared" si="20"/>
        <v>549.9</v>
      </c>
      <c r="I59" s="15">
        <f t="shared" si="20"/>
        <v>549.9</v>
      </c>
      <c r="J59" s="15">
        <f t="shared" si="20"/>
        <v>549.9</v>
      </c>
      <c r="K59" s="15">
        <f t="shared" si="20"/>
        <v>549.9</v>
      </c>
      <c r="L59" s="15">
        <f t="shared" si="20"/>
        <v>549.9</v>
      </c>
      <c r="M59" s="15">
        <f t="shared" si="20"/>
        <v>549.9</v>
      </c>
      <c r="N59" s="15">
        <f t="shared" si="20"/>
        <v>549.9</v>
      </c>
      <c r="O59" s="15">
        <f t="shared" si="20"/>
        <v>549.9</v>
      </c>
      <c r="P59" s="15">
        <f>SUM(D59:O59)</f>
        <v>6598.7999999999984</v>
      </c>
    </row>
    <row r="60" spans="1:17" x14ac:dyDescent="0.3">
      <c r="A60" s="22">
        <v>6360</v>
      </c>
      <c r="B60" s="21" t="s">
        <v>11</v>
      </c>
      <c r="C60" s="14">
        <f>P60/$P$7</f>
        <v>4.1374627805164404E-4</v>
      </c>
      <c r="D60" s="15">
        <f>1365*30%</f>
        <v>409.5</v>
      </c>
      <c r="E60" s="15">
        <f>D60</f>
        <v>409.5</v>
      </c>
      <c r="F60" s="15">
        <f t="shared" si="20"/>
        <v>409.5</v>
      </c>
      <c r="G60" s="15">
        <f t="shared" si="20"/>
        <v>409.5</v>
      </c>
      <c r="H60" s="15">
        <f t="shared" si="20"/>
        <v>409.5</v>
      </c>
      <c r="I60" s="15">
        <f t="shared" si="20"/>
        <v>409.5</v>
      </c>
      <c r="J60" s="15">
        <f t="shared" si="20"/>
        <v>409.5</v>
      </c>
      <c r="K60" s="15">
        <f t="shared" si="20"/>
        <v>409.5</v>
      </c>
      <c r="L60" s="15">
        <f t="shared" si="20"/>
        <v>409.5</v>
      </c>
      <c r="M60" s="15">
        <f t="shared" si="20"/>
        <v>409.5</v>
      </c>
      <c r="N60" s="15">
        <f t="shared" si="20"/>
        <v>409.5</v>
      </c>
      <c r="O60" s="15">
        <f t="shared" si="20"/>
        <v>409.5</v>
      </c>
      <c r="P60" s="15">
        <f>SUM(D60:O60)</f>
        <v>4914</v>
      </c>
    </row>
    <row r="61" spans="1:17" x14ac:dyDescent="0.3">
      <c r="A61" s="22">
        <v>6390</v>
      </c>
      <c r="B61" s="21" t="s">
        <v>12</v>
      </c>
      <c r="C61" s="14">
        <f>P61/$P$7</f>
        <v>1.0002657271578207E-3</v>
      </c>
      <c r="D61" s="15">
        <f>(1833+1467)*30%</f>
        <v>990</v>
      </c>
      <c r="E61" s="15">
        <f>D61</f>
        <v>990</v>
      </c>
      <c r="F61" s="15">
        <f t="shared" si="20"/>
        <v>990</v>
      </c>
      <c r="G61" s="15">
        <f t="shared" si="20"/>
        <v>990</v>
      </c>
      <c r="H61" s="15">
        <f t="shared" si="20"/>
        <v>990</v>
      </c>
      <c r="I61" s="15">
        <f t="shared" si="20"/>
        <v>990</v>
      </c>
      <c r="J61" s="15">
        <f t="shared" si="20"/>
        <v>990</v>
      </c>
      <c r="K61" s="15">
        <f t="shared" si="20"/>
        <v>990</v>
      </c>
      <c r="L61" s="15">
        <f t="shared" si="20"/>
        <v>990</v>
      </c>
      <c r="M61" s="15">
        <f t="shared" si="20"/>
        <v>990</v>
      </c>
      <c r="N61" s="15">
        <f t="shared" si="20"/>
        <v>990</v>
      </c>
      <c r="O61" s="15">
        <f t="shared" si="20"/>
        <v>990</v>
      </c>
      <c r="P61" s="15">
        <f>SUM(D61:O61)</f>
        <v>11880</v>
      </c>
    </row>
    <row r="62" spans="1:17" x14ac:dyDescent="0.3">
      <c r="A62" s="23"/>
      <c r="B62" s="20" t="s">
        <v>38</v>
      </c>
      <c r="C62" s="26">
        <f>P62/$P$7</f>
        <v>6.6350959901468765E-3</v>
      </c>
      <c r="D62" s="17">
        <f t="shared" ref="D62:O62" si="21">SUM(D58:D61)</f>
        <v>6566.9999999999991</v>
      </c>
      <c r="E62" s="17">
        <f t="shared" si="21"/>
        <v>6566.9999999999991</v>
      </c>
      <c r="F62" s="17">
        <f t="shared" si="21"/>
        <v>6566.9999999999991</v>
      </c>
      <c r="G62" s="17">
        <f t="shared" si="21"/>
        <v>6566.9999999999991</v>
      </c>
      <c r="H62" s="17">
        <f t="shared" si="21"/>
        <v>6566.9999999999991</v>
      </c>
      <c r="I62" s="17">
        <f t="shared" si="21"/>
        <v>6566.9999999999991</v>
      </c>
      <c r="J62" s="17">
        <f t="shared" si="21"/>
        <v>6566.9999999999991</v>
      </c>
      <c r="K62" s="17">
        <f t="shared" si="21"/>
        <v>6566.9999999999991</v>
      </c>
      <c r="L62" s="17">
        <f t="shared" si="21"/>
        <v>6566.9999999999991</v>
      </c>
      <c r="M62" s="17">
        <f t="shared" si="21"/>
        <v>6566.9999999999991</v>
      </c>
      <c r="N62" s="17">
        <f t="shared" si="21"/>
        <v>6566.9999999999991</v>
      </c>
      <c r="O62" s="17">
        <f t="shared" si="21"/>
        <v>6566.9999999999991</v>
      </c>
      <c r="P62" s="17">
        <f>SUM(P58:P61)</f>
        <v>78803.999999999985</v>
      </c>
    </row>
    <row r="63" spans="1:17" x14ac:dyDescent="0.3">
      <c r="A63" s="23"/>
      <c r="B63" s="23"/>
      <c r="C63" s="14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17" x14ac:dyDescent="0.3">
      <c r="A64" s="23" t="s">
        <v>74</v>
      </c>
      <c r="B64" s="21"/>
      <c r="C64" s="14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3">
      <c r="A65" s="22">
        <v>6416</v>
      </c>
      <c r="B65" s="43" t="s">
        <v>287</v>
      </c>
      <c r="C65" s="14">
        <f t="shared" ref="C65:C70" si="22">P65/$P$7</f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f t="shared" ref="P65:P76" si="23">SUM(D65:O65)</f>
        <v>0</v>
      </c>
    </row>
    <row r="66" spans="1:16" x14ac:dyDescent="0.3">
      <c r="A66" s="22">
        <v>6417</v>
      </c>
      <c r="B66" s="43" t="s">
        <v>288</v>
      </c>
      <c r="C66" s="14">
        <f t="shared" si="2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f t="shared" si="23"/>
        <v>0</v>
      </c>
    </row>
    <row r="67" spans="1:16" x14ac:dyDescent="0.3">
      <c r="A67" s="22">
        <v>6441</v>
      </c>
      <c r="B67" s="43" t="s">
        <v>146</v>
      </c>
      <c r="C67" s="14">
        <f t="shared" si="22"/>
        <v>0</v>
      </c>
      <c r="D67" s="15">
        <v>0</v>
      </c>
      <c r="E67" s="15">
        <f t="shared" ref="E67:O68" si="24">D67</f>
        <v>0</v>
      </c>
      <c r="F67" s="15">
        <f t="shared" si="24"/>
        <v>0</v>
      </c>
      <c r="G67" s="15">
        <f t="shared" si="24"/>
        <v>0</v>
      </c>
      <c r="H67" s="15">
        <f t="shared" si="24"/>
        <v>0</v>
      </c>
      <c r="I67" s="15">
        <f t="shared" si="24"/>
        <v>0</v>
      </c>
      <c r="J67" s="15">
        <f t="shared" si="24"/>
        <v>0</v>
      </c>
      <c r="K67" s="15">
        <f t="shared" si="24"/>
        <v>0</v>
      </c>
      <c r="L67" s="15">
        <f t="shared" si="24"/>
        <v>0</v>
      </c>
      <c r="M67" s="15"/>
      <c r="N67" s="15"/>
      <c r="O67" s="15"/>
      <c r="P67" s="15">
        <f t="shared" si="23"/>
        <v>0</v>
      </c>
    </row>
    <row r="68" spans="1:16" x14ac:dyDescent="0.3">
      <c r="A68" s="22">
        <v>6442</v>
      </c>
      <c r="B68" s="43" t="s">
        <v>147</v>
      </c>
      <c r="C68" s="14">
        <f t="shared" si="22"/>
        <v>3.7795300577231523E-3</v>
      </c>
      <c r="D68" s="15">
        <v>4500</v>
      </c>
      <c r="E68" s="15">
        <f t="shared" si="24"/>
        <v>4500</v>
      </c>
      <c r="F68" s="15">
        <f t="shared" si="24"/>
        <v>4500</v>
      </c>
      <c r="G68" s="15">
        <f t="shared" si="24"/>
        <v>4500</v>
      </c>
      <c r="H68" s="15">
        <f t="shared" si="24"/>
        <v>4500</v>
      </c>
      <c r="I68" s="15">
        <f t="shared" si="24"/>
        <v>4500</v>
      </c>
      <c r="J68" s="15">
        <f t="shared" si="24"/>
        <v>4500</v>
      </c>
      <c r="K68" s="15">
        <f t="shared" si="24"/>
        <v>4500</v>
      </c>
      <c r="L68" s="15">
        <f>80000/36</f>
        <v>2222.2222222222222</v>
      </c>
      <c r="M68" s="15">
        <f t="shared" si="24"/>
        <v>2222.2222222222222</v>
      </c>
      <c r="N68" s="15">
        <f t="shared" si="24"/>
        <v>2222.2222222222222</v>
      </c>
      <c r="O68" s="15">
        <f t="shared" si="24"/>
        <v>2222.2222222222222</v>
      </c>
      <c r="P68" s="15">
        <f t="shared" si="23"/>
        <v>44888.888888888876</v>
      </c>
    </row>
    <row r="69" spans="1:16" x14ac:dyDescent="0.3">
      <c r="A69" s="22">
        <v>6444</v>
      </c>
      <c r="B69" s="43" t="s">
        <v>148</v>
      </c>
      <c r="C69" s="14">
        <f t="shared" si="22"/>
        <v>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f t="shared" si="23"/>
        <v>0</v>
      </c>
    </row>
    <row r="70" spans="1:16" x14ac:dyDescent="0.3">
      <c r="A70" s="22">
        <v>6445</v>
      </c>
      <c r="B70" s="43" t="s">
        <v>149</v>
      </c>
      <c r="C70" s="14">
        <f t="shared" si="22"/>
        <v>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f t="shared" si="23"/>
        <v>0</v>
      </c>
    </row>
    <row r="71" spans="1:16" x14ac:dyDescent="0.3">
      <c r="A71" s="22">
        <v>6446</v>
      </c>
      <c r="B71" s="43" t="s">
        <v>150</v>
      </c>
      <c r="C71" s="14">
        <f t="shared" ref="C71:C76" si="25">P71/$P$7</f>
        <v>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f t="shared" si="23"/>
        <v>0</v>
      </c>
    </row>
    <row r="72" spans="1:16" x14ac:dyDescent="0.3">
      <c r="A72" s="22">
        <v>6447</v>
      </c>
      <c r="B72" s="43" t="s">
        <v>151</v>
      </c>
      <c r="C72" s="14">
        <f t="shared" si="25"/>
        <v>2.8206146346622047E-3</v>
      </c>
      <c r="D72" s="15">
        <v>4500</v>
      </c>
      <c r="E72" s="15">
        <f t="shared" ref="E72:O72" si="26">D72</f>
        <v>4500</v>
      </c>
      <c r="F72" s="15">
        <f t="shared" si="26"/>
        <v>4500</v>
      </c>
      <c r="G72" s="15">
        <f>80000/36</f>
        <v>2222.2222222222222</v>
      </c>
      <c r="H72" s="15">
        <f t="shared" si="26"/>
        <v>2222.2222222222222</v>
      </c>
      <c r="I72" s="15">
        <f t="shared" si="26"/>
        <v>2222.2222222222222</v>
      </c>
      <c r="J72" s="15">
        <f t="shared" si="26"/>
        <v>2222.2222222222222</v>
      </c>
      <c r="K72" s="15">
        <f t="shared" si="26"/>
        <v>2222.2222222222222</v>
      </c>
      <c r="L72" s="15">
        <f t="shared" si="26"/>
        <v>2222.2222222222222</v>
      </c>
      <c r="M72" s="15">
        <f t="shared" si="26"/>
        <v>2222.2222222222222</v>
      </c>
      <c r="N72" s="15">
        <f t="shared" si="26"/>
        <v>2222.2222222222222</v>
      </c>
      <c r="O72" s="15">
        <f t="shared" si="26"/>
        <v>2222.2222222222222</v>
      </c>
      <c r="P72" s="15">
        <f t="shared" si="23"/>
        <v>33500</v>
      </c>
    </row>
    <row r="73" spans="1:16" x14ac:dyDescent="0.3">
      <c r="A73" s="22">
        <v>6448</v>
      </c>
      <c r="B73" s="43" t="s">
        <v>152</v>
      </c>
      <c r="C73" s="14">
        <f t="shared" si="25"/>
        <v>0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f t="shared" si="23"/>
        <v>0</v>
      </c>
    </row>
    <row r="74" spans="1:16" x14ac:dyDescent="0.3">
      <c r="A74" s="22">
        <v>6449</v>
      </c>
      <c r="B74" s="43" t="s">
        <v>190</v>
      </c>
      <c r="C74" s="14">
        <f t="shared" si="25"/>
        <v>4.2435515697604514E-3</v>
      </c>
      <c r="D74" s="15">
        <v>4200</v>
      </c>
      <c r="E74" s="15">
        <f t="shared" ref="E74:O74" si="27">D74</f>
        <v>4200</v>
      </c>
      <c r="F74" s="15">
        <f t="shared" si="27"/>
        <v>4200</v>
      </c>
      <c r="G74" s="15">
        <f t="shared" si="27"/>
        <v>4200</v>
      </c>
      <c r="H74" s="15">
        <f t="shared" si="27"/>
        <v>4200</v>
      </c>
      <c r="I74" s="15">
        <f t="shared" si="27"/>
        <v>4200</v>
      </c>
      <c r="J74" s="15">
        <f t="shared" si="27"/>
        <v>4200</v>
      </c>
      <c r="K74" s="15">
        <f t="shared" si="27"/>
        <v>4200</v>
      </c>
      <c r="L74" s="15">
        <f t="shared" si="27"/>
        <v>4200</v>
      </c>
      <c r="M74" s="15">
        <f t="shared" si="27"/>
        <v>4200</v>
      </c>
      <c r="N74" s="15">
        <f t="shared" si="27"/>
        <v>4200</v>
      </c>
      <c r="O74" s="15">
        <f t="shared" si="27"/>
        <v>4200</v>
      </c>
      <c r="P74" s="15">
        <f t="shared" si="23"/>
        <v>50400</v>
      </c>
    </row>
    <row r="75" spans="1:16" x14ac:dyDescent="0.3">
      <c r="A75" s="22">
        <v>6450</v>
      </c>
      <c r="B75" s="43" t="s">
        <v>191</v>
      </c>
      <c r="C75" s="14">
        <f t="shared" si="25"/>
        <v>0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f>SUM(D75:O75)</f>
        <v>0</v>
      </c>
    </row>
    <row r="76" spans="1:16" x14ac:dyDescent="0.3">
      <c r="A76" s="22">
        <v>6490</v>
      </c>
      <c r="B76" s="43" t="s">
        <v>153</v>
      </c>
      <c r="C76" s="14">
        <f t="shared" si="25"/>
        <v>0</v>
      </c>
      <c r="D76" s="15">
        <v>0</v>
      </c>
      <c r="E76" s="15">
        <f t="shared" ref="E76:O76" si="28">D76</f>
        <v>0</v>
      </c>
      <c r="F76" s="15">
        <f t="shared" si="28"/>
        <v>0</v>
      </c>
      <c r="G76" s="15">
        <f t="shared" si="28"/>
        <v>0</v>
      </c>
      <c r="H76" s="15">
        <f t="shared" si="28"/>
        <v>0</v>
      </c>
      <c r="I76" s="15">
        <f t="shared" si="28"/>
        <v>0</v>
      </c>
      <c r="J76" s="15">
        <f t="shared" si="28"/>
        <v>0</v>
      </c>
      <c r="K76" s="15">
        <f t="shared" si="28"/>
        <v>0</v>
      </c>
      <c r="L76" s="15">
        <f t="shared" si="28"/>
        <v>0</v>
      </c>
      <c r="M76" s="15">
        <f t="shared" si="28"/>
        <v>0</v>
      </c>
      <c r="N76" s="15">
        <f t="shared" si="28"/>
        <v>0</v>
      </c>
      <c r="O76" s="15">
        <f t="shared" si="28"/>
        <v>0</v>
      </c>
      <c r="P76" s="15">
        <f t="shared" si="23"/>
        <v>0</v>
      </c>
    </row>
    <row r="77" spans="1:16" x14ac:dyDescent="0.3">
      <c r="A77" s="22">
        <v>6418</v>
      </c>
      <c r="B77" s="43" t="s">
        <v>289</v>
      </c>
      <c r="C77" s="14">
        <f>P77/$P$7</f>
        <v>0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f>SUM(D77:O77)</f>
        <v>0</v>
      </c>
    </row>
    <row r="78" spans="1:16" x14ac:dyDescent="0.3">
      <c r="A78" s="23"/>
      <c r="B78" s="20" t="s">
        <v>75</v>
      </c>
      <c r="C78" s="26">
        <f>P78/$P$7</f>
        <v>1.0843696262145808E-2</v>
      </c>
      <c r="D78" s="17">
        <f t="shared" ref="D78:P78" si="29">SUM(D65:D76)</f>
        <v>13200</v>
      </c>
      <c r="E78" s="17">
        <f t="shared" si="29"/>
        <v>13200</v>
      </c>
      <c r="F78" s="17">
        <f t="shared" si="29"/>
        <v>13200</v>
      </c>
      <c r="G78" s="17">
        <f t="shared" si="29"/>
        <v>10922.222222222223</v>
      </c>
      <c r="H78" s="17">
        <f t="shared" si="29"/>
        <v>10922.222222222223</v>
      </c>
      <c r="I78" s="17">
        <f t="shared" si="29"/>
        <v>10922.222222222223</v>
      </c>
      <c r="J78" s="17">
        <f t="shared" si="29"/>
        <v>10922.222222222223</v>
      </c>
      <c r="K78" s="17">
        <f t="shared" si="29"/>
        <v>10922.222222222223</v>
      </c>
      <c r="L78" s="17">
        <f t="shared" si="29"/>
        <v>8644.4444444444453</v>
      </c>
      <c r="M78" s="17">
        <f t="shared" si="29"/>
        <v>8644.4444444444453</v>
      </c>
      <c r="N78" s="17">
        <f t="shared" si="29"/>
        <v>8644.4444444444453</v>
      </c>
      <c r="O78" s="17">
        <f t="shared" si="29"/>
        <v>8644.4444444444453</v>
      </c>
      <c r="P78" s="17">
        <f t="shared" si="29"/>
        <v>128788.88888888888</v>
      </c>
    </row>
    <row r="79" spans="1:16" x14ac:dyDescent="0.3">
      <c r="A79" s="23"/>
      <c r="B79" s="23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3">
      <c r="A80" s="23" t="s">
        <v>76</v>
      </c>
      <c r="B80" s="21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255" x14ac:dyDescent="0.3">
      <c r="A81" s="22">
        <v>6510</v>
      </c>
      <c r="B81" s="43" t="s">
        <v>199</v>
      </c>
      <c r="C81" s="14">
        <f t="shared" ref="C81:C87" si="30">P81/$P$7</f>
        <v>3.5362929748003762E-3</v>
      </c>
      <c r="D81" s="15">
        <v>3500</v>
      </c>
      <c r="E81" s="15">
        <f t="shared" ref="E81:E86" si="31">D81</f>
        <v>3500</v>
      </c>
      <c r="F81" s="15">
        <f t="shared" ref="F81:O85" si="32">E81</f>
        <v>3500</v>
      </c>
      <c r="G81" s="15">
        <f t="shared" si="32"/>
        <v>3500</v>
      </c>
      <c r="H81" s="15">
        <f t="shared" si="32"/>
        <v>3500</v>
      </c>
      <c r="I81" s="15">
        <f t="shared" si="32"/>
        <v>3500</v>
      </c>
      <c r="J81" s="15">
        <f t="shared" si="32"/>
        <v>3500</v>
      </c>
      <c r="K81" s="15">
        <f t="shared" si="32"/>
        <v>3500</v>
      </c>
      <c r="L81" s="15">
        <f t="shared" si="32"/>
        <v>3500</v>
      </c>
      <c r="M81" s="15">
        <f t="shared" si="32"/>
        <v>3500</v>
      </c>
      <c r="N81" s="15">
        <f t="shared" si="32"/>
        <v>3500</v>
      </c>
      <c r="O81" s="15">
        <f t="shared" si="32"/>
        <v>3500</v>
      </c>
      <c r="P81" s="15">
        <f t="shared" ref="P81:P86" si="33">SUM(D81:O81)</f>
        <v>42000</v>
      </c>
    </row>
    <row r="82" spans="1:255" x14ac:dyDescent="0.3">
      <c r="A82" s="22">
        <v>6540</v>
      </c>
      <c r="B82" s="43" t="s">
        <v>79</v>
      </c>
      <c r="C82" s="14">
        <f t="shared" si="30"/>
        <v>5.0518471068576804E-4</v>
      </c>
      <c r="D82" s="15">
        <v>500</v>
      </c>
      <c r="E82" s="15">
        <f t="shared" si="31"/>
        <v>500</v>
      </c>
      <c r="F82" s="15">
        <f t="shared" si="32"/>
        <v>500</v>
      </c>
      <c r="G82" s="15">
        <f t="shared" si="32"/>
        <v>500</v>
      </c>
      <c r="H82" s="15">
        <f t="shared" si="32"/>
        <v>500</v>
      </c>
      <c r="I82" s="15">
        <f t="shared" si="32"/>
        <v>500</v>
      </c>
      <c r="J82" s="15">
        <f t="shared" si="32"/>
        <v>500</v>
      </c>
      <c r="K82" s="15">
        <f t="shared" si="32"/>
        <v>500</v>
      </c>
      <c r="L82" s="15">
        <f t="shared" si="32"/>
        <v>500</v>
      </c>
      <c r="M82" s="15">
        <f t="shared" si="32"/>
        <v>500</v>
      </c>
      <c r="N82" s="15">
        <f t="shared" si="32"/>
        <v>500</v>
      </c>
      <c r="O82" s="15">
        <f t="shared" si="32"/>
        <v>500</v>
      </c>
      <c r="P82" s="15">
        <f t="shared" si="33"/>
        <v>6000</v>
      </c>
    </row>
    <row r="83" spans="1:255" x14ac:dyDescent="0.3">
      <c r="A83" s="22">
        <v>6541</v>
      </c>
      <c r="B83" s="43" t="s">
        <v>201</v>
      </c>
      <c r="C83" s="14">
        <f t="shared" si="30"/>
        <v>5.0518471068576804E-4</v>
      </c>
      <c r="D83" s="15">
        <v>500</v>
      </c>
      <c r="E83" s="15">
        <f t="shared" ref="E83:O83" si="34">D83</f>
        <v>500</v>
      </c>
      <c r="F83" s="15">
        <f t="shared" si="34"/>
        <v>500</v>
      </c>
      <c r="G83" s="15">
        <f t="shared" si="34"/>
        <v>500</v>
      </c>
      <c r="H83" s="15">
        <f t="shared" si="34"/>
        <v>500</v>
      </c>
      <c r="I83" s="15">
        <f t="shared" si="34"/>
        <v>500</v>
      </c>
      <c r="J83" s="15">
        <f t="shared" si="34"/>
        <v>500</v>
      </c>
      <c r="K83" s="15">
        <f t="shared" si="34"/>
        <v>500</v>
      </c>
      <c r="L83" s="15">
        <f t="shared" si="34"/>
        <v>500</v>
      </c>
      <c r="M83" s="15">
        <f t="shared" si="34"/>
        <v>500</v>
      </c>
      <c r="N83" s="15">
        <f t="shared" si="34"/>
        <v>500</v>
      </c>
      <c r="O83" s="15">
        <f t="shared" si="34"/>
        <v>500</v>
      </c>
      <c r="P83" s="15">
        <f>SUM(D83:O83)</f>
        <v>6000</v>
      </c>
    </row>
    <row r="84" spans="1:255" x14ac:dyDescent="0.3">
      <c r="A84" s="22">
        <v>6553</v>
      </c>
      <c r="B84" s="43" t="s">
        <v>202</v>
      </c>
      <c r="C84" s="14">
        <f t="shared" si="30"/>
        <v>1.0103694213715361E-3</v>
      </c>
      <c r="D84" s="15">
        <v>1000</v>
      </c>
      <c r="E84" s="15">
        <f t="shared" si="31"/>
        <v>1000</v>
      </c>
      <c r="F84" s="15">
        <f t="shared" si="32"/>
        <v>1000</v>
      </c>
      <c r="G84" s="15">
        <f t="shared" si="32"/>
        <v>1000</v>
      </c>
      <c r="H84" s="15">
        <f t="shared" si="32"/>
        <v>1000</v>
      </c>
      <c r="I84" s="15">
        <f t="shared" si="32"/>
        <v>1000</v>
      </c>
      <c r="J84" s="15">
        <f t="shared" si="32"/>
        <v>1000</v>
      </c>
      <c r="K84" s="15">
        <f t="shared" si="32"/>
        <v>1000</v>
      </c>
      <c r="L84" s="15">
        <f t="shared" si="32"/>
        <v>1000</v>
      </c>
      <c r="M84" s="15">
        <f t="shared" si="32"/>
        <v>1000</v>
      </c>
      <c r="N84" s="15">
        <f t="shared" si="32"/>
        <v>1000</v>
      </c>
      <c r="O84" s="15">
        <f t="shared" si="32"/>
        <v>1000</v>
      </c>
      <c r="P84" s="15">
        <f t="shared" si="33"/>
        <v>12000</v>
      </c>
    </row>
    <row r="85" spans="1:255" x14ac:dyDescent="0.3">
      <c r="A85" s="22">
        <v>6570</v>
      </c>
      <c r="B85" s="43" t="s">
        <v>78</v>
      </c>
      <c r="C85" s="14">
        <f t="shared" si="30"/>
        <v>1.515554132057304E-3</v>
      </c>
      <c r="D85" s="15">
        <v>1500</v>
      </c>
      <c r="E85" s="15">
        <f t="shared" si="31"/>
        <v>1500</v>
      </c>
      <c r="F85" s="15">
        <f t="shared" si="32"/>
        <v>1500</v>
      </c>
      <c r="G85" s="15">
        <f t="shared" si="32"/>
        <v>1500</v>
      </c>
      <c r="H85" s="15">
        <f t="shared" si="32"/>
        <v>1500</v>
      </c>
      <c r="I85" s="15">
        <f t="shared" si="32"/>
        <v>1500</v>
      </c>
      <c r="J85" s="15">
        <f t="shared" si="32"/>
        <v>1500</v>
      </c>
      <c r="K85" s="15">
        <f t="shared" si="32"/>
        <v>1500</v>
      </c>
      <c r="L85" s="15">
        <f t="shared" si="32"/>
        <v>1500</v>
      </c>
      <c r="M85" s="15">
        <f t="shared" si="32"/>
        <v>1500</v>
      </c>
      <c r="N85" s="15">
        <f t="shared" si="32"/>
        <v>1500</v>
      </c>
      <c r="O85" s="15">
        <f t="shared" si="32"/>
        <v>1500</v>
      </c>
      <c r="P85" s="15">
        <f t="shared" si="33"/>
        <v>18000</v>
      </c>
    </row>
    <row r="86" spans="1:255" x14ac:dyDescent="0.3">
      <c r="A86" s="22">
        <v>6590</v>
      </c>
      <c r="B86" s="43" t="s">
        <v>154</v>
      </c>
      <c r="C86" s="14">
        <f>P86/$P$7</f>
        <v>1.0103694213715361E-3</v>
      </c>
      <c r="D86" s="15">
        <v>1000</v>
      </c>
      <c r="E86" s="15">
        <f t="shared" si="31"/>
        <v>1000</v>
      </c>
      <c r="F86" s="15">
        <f t="shared" ref="F86:O86" si="35">E86</f>
        <v>1000</v>
      </c>
      <c r="G86" s="15">
        <f t="shared" si="35"/>
        <v>1000</v>
      </c>
      <c r="H86" s="15">
        <f t="shared" si="35"/>
        <v>1000</v>
      </c>
      <c r="I86" s="15">
        <f t="shared" si="35"/>
        <v>1000</v>
      </c>
      <c r="J86" s="15">
        <f t="shared" si="35"/>
        <v>1000</v>
      </c>
      <c r="K86" s="15">
        <f t="shared" si="35"/>
        <v>1000</v>
      </c>
      <c r="L86" s="15">
        <f t="shared" si="35"/>
        <v>1000</v>
      </c>
      <c r="M86" s="15">
        <f t="shared" si="35"/>
        <v>1000</v>
      </c>
      <c r="N86" s="15">
        <f t="shared" si="35"/>
        <v>1000</v>
      </c>
      <c r="O86" s="15">
        <f t="shared" si="35"/>
        <v>1000</v>
      </c>
      <c r="P86" s="15">
        <f t="shared" si="33"/>
        <v>12000</v>
      </c>
    </row>
    <row r="87" spans="1:255" x14ac:dyDescent="0.3">
      <c r="A87" s="23"/>
      <c r="B87" s="20" t="s">
        <v>77</v>
      </c>
      <c r="C87" s="26">
        <f t="shared" si="30"/>
        <v>8.0829553709722887E-3</v>
      </c>
      <c r="D87" s="17">
        <f t="shared" ref="D87:P87" si="36">SUM(D81:D86)</f>
        <v>8000</v>
      </c>
      <c r="E87" s="17">
        <f t="shared" si="36"/>
        <v>8000</v>
      </c>
      <c r="F87" s="17">
        <f t="shared" si="36"/>
        <v>8000</v>
      </c>
      <c r="G87" s="17">
        <f t="shared" si="36"/>
        <v>8000</v>
      </c>
      <c r="H87" s="17">
        <f t="shared" si="36"/>
        <v>8000</v>
      </c>
      <c r="I87" s="17">
        <f t="shared" si="36"/>
        <v>8000</v>
      </c>
      <c r="J87" s="17">
        <f t="shared" si="36"/>
        <v>8000</v>
      </c>
      <c r="K87" s="17">
        <f t="shared" si="36"/>
        <v>8000</v>
      </c>
      <c r="L87" s="17">
        <f t="shared" si="36"/>
        <v>8000</v>
      </c>
      <c r="M87" s="17">
        <f t="shared" si="36"/>
        <v>8000</v>
      </c>
      <c r="N87" s="17">
        <f t="shared" si="36"/>
        <v>8000</v>
      </c>
      <c r="O87" s="17">
        <f t="shared" si="36"/>
        <v>8000</v>
      </c>
      <c r="P87" s="17">
        <f t="shared" si="36"/>
        <v>96000</v>
      </c>
    </row>
    <row r="88" spans="1:255" x14ac:dyDescent="0.3">
      <c r="A88" s="23"/>
      <c r="B88" s="23"/>
      <c r="C88" s="14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255" x14ac:dyDescent="0.3">
      <c r="A89" s="23" t="s">
        <v>80</v>
      </c>
      <c r="B89" s="21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255" x14ac:dyDescent="0.3">
      <c r="A90" s="22">
        <v>6620</v>
      </c>
      <c r="B90" s="43" t="s">
        <v>13</v>
      </c>
      <c r="C90" s="14">
        <f>P90/$P$7</f>
        <v>1.0103694213715361E-3</v>
      </c>
      <c r="D90" s="15">
        <v>1000</v>
      </c>
      <c r="E90" s="15">
        <f>D90</f>
        <v>1000</v>
      </c>
      <c r="F90" s="15">
        <f t="shared" ref="F90:O90" si="37">E90</f>
        <v>1000</v>
      </c>
      <c r="G90" s="15">
        <f t="shared" si="37"/>
        <v>1000</v>
      </c>
      <c r="H90" s="15">
        <f t="shared" si="37"/>
        <v>1000</v>
      </c>
      <c r="I90" s="15">
        <f t="shared" si="37"/>
        <v>1000</v>
      </c>
      <c r="J90" s="15">
        <f t="shared" si="37"/>
        <v>1000</v>
      </c>
      <c r="K90" s="15">
        <f t="shared" si="37"/>
        <v>1000</v>
      </c>
      <c r="L90" s="15">
        <f t="shared" si="37"/>
        <v>1000</v>
      </c>
      <c r="M90" s="15">
        <f t="shared" si="37"/>
        <v>1000</v>
      </c>
      <c r="N90" s="15">
        <f t="shared" si="37"/>
        <v>1000</v>
      </c>
      <c r="O90" s="15">
        <f t="shared" si="37"/>
        <v>1000</v>
      </c>
      <c r="P90" s="15">
        <f>SUM(D90:O90)</f>
        <v>12000</v>
      </c>
    </row>
    <row r="91" spans="1:255" x14ac:dyDescent="0.3">
      <c r="A91" s="23"/>
      <c r="B91" s="20" t="s">
        <v>81</v>
      </c>
      <c r="C91" s="26">
        <f>P91/$P$7</f>
        <v>1.0103694213715361E-3</v>
      </c>
      <c r="D91" s="17">
        <f>SUM(D90)</f>
        <v>1000</v>
      </c>
      <c r="E91" s="17">
        <f t="shared" ref="E91:O91" si="38">SUM(E90)</f>
        <v>1000</v>
      </c>
      <c r="F91" s="17">
        <f t="shared" si="38"/>
        <v>1000</v>
      </c>
      <c r="G91" s="17">
        <f t="shared" si="38"/>
        <v>1000</v>
      </c>
      <c r="H91" s="17">
        <f t="shared" si="38"/>
        <v>1000</v>
      </c>
      <c r="I91" s="17">
        <f t="shared" si="38"/>
        <v>1000</v>
      </c>
      <c r="J91" s="17">
        <f t="shared" si="38"/>
        <v>1000</v>
      </c>
      <c r="K91" s="17">
        <f t="shared" si="38"/>
        <v>1000</v>
      </c>
      <c r="L91" s="17">
        <f t="shared" si="38"/>
        <v>1000</v>
      </c>
      <c r="M91" s="17">
        <f t="shared" si="38"/>
        <v>1000</v>
      </c>
      <c r="N91" s="17">
        <f t="shared" si="38"/>
        <v>1000</v>
      </c>
      <c r="O91" s="17">
        <f t="shared" si="38"/>
        <v>1000</v>
      </c>
      <c r="P91" s="17">
        <f>SUM(P90)</f>
        <v>12000</v>
      </c>
    </row>
    <row r="92" spans="1:255" x14ac:dyDescent="0.3">
      <c r="A92" s="23"/>
      <c r="B92" s="23"/>
      <c r="C92" s="14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255" x14ac:dyDescent="0.3">
      <c r="A93" s="23" t="s">
        <v>83</v>
      </c>
      <c r="B93" s="23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255" x14ac:dyDescent="0.3">
      <c r="A94" s="22">
        <v>6700</v>
      </c>
      <c r="B94" s="21" t="s">
        <v>14</v>
      </c>
      <c r="C94" s="14">
        <f>P94/$P$7</f>
        <v>1.2124433056458434E-3</v>
      </c>
      <c r="D94" s="15">
        <v>1200</v>
      </c>
      <c r="E94" s="15">
        <f>D94</f>
        <v>1200</v>
      </c>
      <c r="F94" s="15">
        <f t="shared" ref="F94:O97" si="39">E94</f>
        <v>1200</v>
      </c>
      <c r="G94" s="15">
        <f t="shared" si="39"/>
        <v>1200</v>
      </c>
      <c r="H94" s="15">
        <f t="shared" si="39"/>
        <v>1200</v>
      </c>
      <c r="I94" s="15">
        <f t="shared" si="39"/>
        <v>1200</v>
      </c>
      <c r="J94" s="15">
        <f t="shared" si="39"/>
        <v>1200</v>
      </c>
      <c r="K94" s="15">
        <f t="shared" si="39"/>
        <v>1200</v>
      </c>
      <c r="L94" s="15">
        <f t="shared" si="39"/>
        <v>1200</v>
      </c>
      <c r="M94" s="15">
        <f t="shared" si="39"/>
        <v>1200</v>
      </c>
      <c r="N94" s="15">
        <f t="shared" si="39"/>
        <v>1200</v>
      </c>
      <c r="O94" s="15">
        <f t="shared" si="39"/>
        <v>1200</v>
      </c>
      <c r="P94" s="15">
        <f>SUM(D94:O94)</f>
        <v>14400</v>
      </c>
    </row>
    <row r="95" spans="1:255" x14ac:dyDescent="0.3">
      <c r="A95" s="22">
        <v>6705</v>
      </c>
      <c r="B95" s="21" t="s">
        <v>15</v>
      </c>
      <c r="C95" s="14">
        <f>P95/$P$7</f>
        <v>5.0518471068576806E-3</v>
      </c>
      <c r="D95" s="15">
        <v>5000</v>
      </c>
      <c r="E95" s="15">
        <f>D95</f>
        <v>5000</v>
      </c>
      <c r="F95" s="15">
        <f t="shared" si="39"/>
        <v>5000</v>
      </c>
      <c r="G95" s="15">
        <f t="shared" si="39"/>
        <v>5000</v>
      </c>
      <c r="H95" s="15">
        <f t="shared" si="39"/>
        <v>5000</v>
      </c>
      <c r="I95" s="15">
        <f t="shared" si="39"/>
        <v>5000</v>
      </c>
      <c r="J95" s="15">
        <f t="shared" si="39"/>
        <v>5000</v>
      </c>
      <c r="K95" s="15">
        <f t="shared" si="39"/>
        <v>5000</v>
      </c>
      <c r="L95" s="15">
        <f t="shared" si="39"/>
        <v>5000</v>
      </c>
      <c r="M95" s="15">
        <f t="shared" si="39"/>
        <v>5000</v>
      </c>
      <c r="N95" s="15">
        <f t="shared" si="39"/>
        <v>5000</v>
      </c>
      <c r="O95" s="15">
        <f t="shared" si="39"/>
        <v>5000</v>
      </c>
      <c r="P95" s="15">
        <f>SUM(D95:O95)</f>
        <v>60000</v>
      </c>
    </row>
    <row r="96" spans="1:255" s="13" customFormat="1" x14ac:dyDescent="0.3">
      <c r="A96" s="22">
        <v>6721</v>
      </c>
      <c r="B96" s="43" t="s">
        <v>214</v>
      </c>
      <c r="C96" s="14">
        <f>P96/$P$7</f>
        <v>1.618702746285124E-2</v>
      </c>
      <c r="D96" s="15">
        <f>53403*0.3</f>
        <v>16020.9</v>
      </c>
      <c r="E96" s="15">
        <f>D96</f>
        <v>16020.9</v>
      </c>
      <c r="F96" s="15">
        <f t="shared" ref="F96:O96" si="40">E96</f>
        <v>16020.9</v>
      </c>
      <c r="G96" s="15">
        <f t="shared" si="40"/>
        <v>16020.9</v>
      </c>
      <c r="H96" s="15">
        <f t="shared" si="40"/>
        <v>16020.9</v>
      </c>
      <c r="I96" s="15">
        <f t="shared" si="40"/>
        <v>16020.9</v>
      </c>
      <c r="J96" s="15">
        <f t="shared" si="40"/>
        <v>16020.9</v>
      </c>
      <c r="K96" s="15">
        <f t="shared" si="40"/>
        <v>16020.9</v>
      </c>
      <c r="L96" s="15">
        <f t="shared" si="40"/>
        <v>16020.9</v>
      </c>
      <c r="M96" s="15">
        <f t="shared" si="40"/>
        <v>16020.9</v>
      </c>
      <c r="N96" s="15">
        <f t="shared" si="40"/>
        <v>16020.9</v>
      </c>
      <c r="O96" s="15">
        <f t="shared" si="40"/>
        <v>16020.9</v>
      </c>
      <c r="P96" s="15">
        <f>SUM(D96:O96)</f>
        <v>192250.79999999996</v>
      </c>
      <c r="Q96" s="84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</row>
    <row r="97" spans="1:255" s="13" customFormat="1" x14ac:dyDescent="0.3">
      <c r="A97" s="22">
        <v>6725</v>
      </c>
      <c r="B97" s="43" t="s">
        <v>82</v>
      </c>
      <c r="C97" s="14">
        <f>P97/$P$7</f>
        <v>5.0518471068576804E-4</v>
      </c>
      <c r="D97" s="15">
        <v>500</v>
      </c>
      <c r="E97" s="15">
        <f>D97</f>
        <v>500</v>
      </c>
      <c r="F97" s="15">
        <f t="shared" si="39"/>
        <v>500</v>
      </c>
      <c r="G97" s="15">
        <f t="shared" si="39"/>
        <v>500</v>
      </c>
      <c r="H97" s="15">
        <f t="shared" si="39"/>
        <v>500</v>
      </c>
      <c r="I97" s="15">
        <f t="shared" si="39"/>
        <v>500</v>
      </c>
      <c r="J97" s="15">
        <f t="shared" si="39"/>
        <v>500</v>
      </c>
      <c r="K97" s="15">
        <f t="shared" si="39"/>
        <v>500</v>
      </c>
      <c r="L97" s="15">
        <f t="shared" si="39"/>
        <v>500</v>
      </c>
      <c r="M97" s="15">
        <f t="shared" si="39"/>
        <v>500</v>
      </c>
      <c r="N97" s="15">
        <f t="shared" si="39"/>
        <v>500</v>
      </c>
      <c r="O97" s="15">
        <f t="shared" si="39"/>
        <v>500</v>
      </c>
      <c r="P97" s="15">
        <f>SUM(D97:O97)</f>
        <v>6000</v>
      </c>
      <c r="Q97" s="84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</row>
    <row r="98" spans="1:255" x14ac:dyDescent="0.3">
      <c r="A98" s="23"/>
      <c r="B98" s="20" t="s">
        <v>84</v>
      </c>
      <c r="C98" s="26">
        <f>P98/$P$7</f>
        <v>2.2956502586040529E-2</v>
      </c>
      <c r="D98" s="17">
        <f>SUM(D94:D97)</f>
        <v>22720.9</v>
      </c>
      <c r="E98" s="17">
        <f t="shared" ref="E98:P98" si="41">SUM(E94:E97)</f>
        <v>22720.9</v>
      </c>
      <c r="F98" s="17">
        <f t="shared" si="41"/>
        <v>22720.9</v>
      </c>
      <c r="G98" s="17">
        <f t="shared" si="41"/>
        <v>22720.9</v>
      </c>
      <c r="H98" s="17">
        <f t="shared" si="41"/>
        <v>22720.9</v>
      </c>
      <c r="I98" s="17">
        <f t="shared" si="41"/>
        <v>22720.9</v>
      </c>
      <c r="J98" s="17">
        <f t="shared" si="41"/>
        <v>22720.9</v>
      </c>
      <c r="K98" s="17">
        <f t="shared" si="41"/>
        <v>22720.9</v>
      </c>
      <c r="L98" s="17">
        <f t="shared" si="41"/>
        <v>22720.9</v>
      </c>
      <c r="M98" s="17">
        <f t="shared" si="41"/>
        <v>22720.9</v>
      </c>
      <c r="N98" s="17">
        <f t="shared" si="41"/>
        <v>22720.9</v>
      </c>
      <c r="O98" s="17">
        <f t="shared" si="41"/>
        <v>22720.9</v>
      </c>
      <c r="P98" s="17">
        <f t="shared" si="41"/>
        <v>272650.79999999993</v>
      </c>
    </row>
    <row r="99" spans="1:255" x14ac:dyDescent="0.3">
      <c r="A99" s="23"/>
      <c r="B99" s="23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 spans="1:255" s="13" customFormat="1" x14ac:dyDescent="0.3">
      <c r="A100" s="23" t="s">
        <v>85</v>
      </c>
      <c r="B100" s="43"/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84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</row>
    <row r="101" spans="1:255" x14ac:dyDescent="0.3">
      <c r="A101" s="22">
        <v>6800</v>
      </c>
      <c r="B101" s="43" t="s">
        <v>87</v>
      </c>
      <c r="C101" s="14">
        <f t="shared" ref="C101:C106" si="42">P101/$P$7</f>
        <v>3.0311082641146085E-4</v>
      </c>
      <c r="D101" s="15">
        <v>300</v>
      </c>
      <c r="E101" s="15">
        <f>D101</f>
        <v>300</v>
      </c>
      <c r="F101" s="15">
        <f t="shared" ref="F101:O105" si="43">E101</f>
        <v>300</v>
      </c>
      <c r="G101" s="15">
        <f t="shared" si="43"/>
        <v>300</v>
      </c>
      <c r="H101" s="15">
        <f t="shared" si="43"/>
        <v>300</v>
      </c>
      <c r="I101" s="15">
        <f t="shared" si="43"/>
        <v>300</v>
      </c>
      <c r="J101" s="15">
        <f t="shared" si="43"/>
        <v>300</v>
      </c>
      <c r="K101" s="15">
        <f t="shared" si="43"/>
        <v>300</v>
      </c>
      <c r="L101" s="15">
        <f t="shared" si="43"/>
        <v>300</v>
      </c>
      <c r="M101" s="15">
        <f t="shared" si="43"/>
        <v>300</v>
      </c>
      <c r="N101" s="15">
        <f t="shared" si="43"/>
        <v>300</v>
      </c>
      <c r="O101" s="15">
        <f t="shared" si="43"/>
        <v>300</v>
      </c>
      <c r="P101" s="15">
        <f>SUM(D101:O101)</f>
        <v>3600</v>
      </c>
    </row>
    <row r="102" spans="1:255" x14ac:dyDescent="0.3">
      <c r="A102" s="22">
        <v>6890</v>
      </c>
      <c r="B102" s="43" t="s">
        <v>89</v>
      </c>
      <c r="C102" s="14">
        <f t="shared" si="42"/>
        <v>3.0311082641146085E-4</v>
      </c>
      <c r="D102" s="15">
        <v>300</v>
      </c>
      <c r="E102" s="15">
        <f>D102</f>
        <v>300</v>
      </c>
      <c r="F102" s="15">
        <f t="shared" si="43"/>
        <v>300</v>
      </c>
      <c r="G102" s="15">
        <f t="shared" si="43"/>
        <v>300</v>
      </c>
      <c r="H102" s="15">
        <f t="shared" si="43"/>
        <v>300</v>
      </c>
      <c r="I102" s="15">
        <f t="shared" si="43"/>
        <v>300</v>
      </c>
      <c r="J102" s="15">
        <f t="shared" si="43"/>
        <v>300</v>
      </c>
      <c r="K102" s="15">
        <f t="shared" si="43"/>
        <v>300</v>
      </c>
      <c r="L102" s="15">
        <f t="shared" si="43"/>
        <v>300</v>
      </c>
      <c r="M102" s="15">
        <f t="shared" si="43"/>
        <v>300</v>
      </c>
      <c r="N102" s="15">
        <f t="shared" si="43"/>
        <v>300</v>
      </c>
      <c r="O102" s="15">
        <f t="shared" si="43"/>
        <v>300</v>
      </c>
      <c r="P102" s="15">
        <f>SUM(D102:O102)</f>
        <v>3600</v>
      </c>
    </row>
    <row r="103" spans="1:255" x14ac:dyDescent="0.3">
      <c r="A103" s="22">
        <v>6900</v>
      </c>
      <c r="B103" s="43" t="s">
        <v>204</v>
      </c>
      <c r="C103" s="14">
        <f t="shared" si="42"/>
        <v>8.0829553709722889E-4</v>
      </c>
      <c r="D103" s="15">
        <v>800</v>
      </c>
      <c r="E103" s="15">
        <f>D103</f>
        <v>800</v>
      </c>
      <c r="F103" s="15">
        <f t="shared" si="43"/>
        <v>800</v>
      </c>
      <c r="G103" s="15">
        <f t="shared" si="43"/>
        <v>800</v>
      </c>
      <c r="H103" s="15">
        <f t="shared" si="43"/>
        <v>800</v>
      </c>
      <c r="I103" s="15">
        <f t="shared" si="43"/>
        <v>800</v>
      </c>
      <c r="J103" s="15">
        <f t="shared" si="43"/>
        <v>800</v>
      </c>
      <c r="K103" s="15">
        <f t="shared" si="43"/>
        <v>800</v>
      </c>
      <c r="L103" s="15">
        <f t="shared" si="43"/>
        <v>800</v>
      </c>
      <c r="M103" s="15">
        <f t="shared" si="43"/>
        <v>800</v>
      </c>
      <c r="N103" s="15">
        <f t="shared" si="43"/>
        <v>800</v>
      </c>
      <c r="O103" s="15">
        <f t="shared" si="43"/>
        <v>800</v>
      </c>
      <c r="P103" s="15">
        <f>SUM(D103:O103)</f>
        <v>9600</v>
      </c>
    </row>
    <row r="104" spans="1:255" x14ac:dyDescent="0.3">
      <c r="A104" s="22">
        <v>6903</v>
      </c>
      <c r="B104" s="43" t="s">
        <v>203</v>
      </c>
      <c r="C104" s="14">
        <f t="shared" si="42"/>
        <v>6.0622165282292169E-4</v>
      </c>
      <c r="D104" s="15">
        <v>600</v>
      </c>
      <c r="E104" s="15">
        <f>D104</f>
        <v>600</v>
      </c>
      <c r="F104" s="15">
        <f t="shared" si="43"/>
        <v>600</v>
      </c>
      <c r="G104" s="15">
        <f t="shared" si="43"/>
        <v>600</v>
      </c>
      <c r="H104" s="15">
        <f t="shared" si="43"/>
        <v>600</v>
      </c>
      <c r="I104" s="15">
        <f t="shared" si="43"/>
        <v>600</v>
      </c>
      <c r="J104" s="15">
        <f t="shared" si="43"/>
        <v>600</v>
      </c>
      <c r="K104" s="15">
        <f t="shared" si="43"/>
        <v>600</v>
      </c>
      <c r="L104" s="15">
        <f t="shared" si="43"/>
        <v>600</v>
      </c>
      <c r="M104" s="15">
        <f t="shared" si="43"/>
        <v>600</v>
      </c>
      <c r="N104" s="15">
        <f t="shared" si="43"/>
        <v>600</v>
      </c>
      <c r="O104" s="15">
        <f t="shared" si="43"/>
        <v>600</v>
      </c>
      <c r="P104" s="15">
        <f>SUM(D104:O104)</f>
        <v>7200</v>
      </c>
    </row>
    <row r="105" spans="1:255" x14ac:dyDescent="0.3">
      <c r="A105" s="22">
        <v>6940</v>
      </c>
      <c r="B105" s="43" t="s">
        <v>88</v>
      </c>
      <c r="C105" s="14">
        <f t="shared" si="42"/>
        <v>1.0103694213715361E-4</v>
      </c>
      <c r="D105" s="15">
        <v>100</v>
      </c>
      <c r="E105" s="15">
        <f>D105</f>
        <v>100</v>
      </c>
      <c r="F105" s="15">
        <f t="shared" si="43"/>
        <v>100</v>
      </c>
      <c r="G105" s="15">
        <f t="shared" si="43"/>
        <v>100</v>
      </c>
      <c r="H105" s="15">
        <f t="shared" si="43"/>
        <v>100</v>
      </c>
      <c r="I105" s="15">
        <f t="shared" si="43"/>
        <v>100</v>
      </c>
      <c r="J105" s="15">
        <f t="shared" si="43"/>
        <v>100</v>
      </c>
      <c r="K105" s="15">
        <f t="shared" si="43"/>
        <v>100</v>
      </c>
      <c r="L105" s="15">
        <f t="shared" si="43"/>
        <v>100</v>
      </c>
      <c r="M105" s="15">
        <f t="shared" si="43"/>
        <v>100</v>
      </c>
      <c r="N105" s="15">
        <f t="shared" si="43"/>
        <v>100</v>
      </c>
      <c r="O105" s="15">
        <f t="shared" si="43"/>
        <v>100</v>
      </c>
      <c r="P105" s="15">
        <f>SUM(D105:O105)</f>
        <v>1200</v>
      </c>
    </row>
    <row r="106" spans="1:255" x14ac:dyDescent="0.3">
      <c r="A106" s="23"/>
      <c r="B106" s="20" t="s">
        <v>86</v>
      </c>
      <c r="C106" s="26">
        <f t="shared" si="42"/>
        <v>2.1217757848802257E-3</v>
      </c>
      <c r="D106" s="17">
        <f t="shared" ref="D106:P106" si="44">SUM(D101:D105)</f>
        <v>2100</v>
      </c>
      <c r="E106" s="17">
        <f t="shared" si="44"/>
        <v>2100</v>
      </c>
      <c r="F106" s="17">
        <f t="shared" si="44"/>
        <v>2100</v>
      </c>
      <c r="G106" s="17">
        <f t="shared" si="44"/>
        <v>2100</v>
      </c>
      <c r="H106" s="17">
        <f t="shared" si="44"/>
        <v>2100</v>
      </c>
      <c r="I106" s="17">
        <f t="shared" si="44"/>
        <v>2100</v>
      </c>
      <c r="J106" s="17">
        <f t="shared" si="44"/>
        <v>2100</v>
      </c>
      <c r="K106" s="17">
        <f t="shared" si="44"/>
        <v>2100</v>
      </c>
      <c r="L106" s="17">
        <f t="shared" si="44"/>
        <v>2100</v>
      </c>
      <c r="M106" s="17">
        <f t="shared" si="44"/>
        <v>2100</v>
      </c>
      <c r="N106" s="17">
        <f t="shared" si="44"/>
        <v>2100</v>
      </c>
      <c r="O106" s="17">
        <f t="shared" si="44"/>
        <v>2100</v>
      </c>
      <c r="P106" s="17">
        <f t="shared" si="44"/>
        <v>25200</v>
      </c>
    </row>
    <row r="107" spans="1:255" x14ac:dyDescent="0.3">
      <c r="A107" s="23"/>
      <c r="B107" s="23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 spans="1:255" x14ac:dyDescent="0.3">
      <c r="A108" s="23" t="s">
        <v>90</v>
      </c>
      <c r="B108" s="21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255" x14ac:dyDescent="0.3">
      <c r="A109" s="22">
        <v>7000</v>
      </c>
      <c r="B109" s="21" t="s">
        <v>47</v>
      </c>
      <c r="C109" s="14">
        <f>P109/$P$7</f>
        <v>5.0518471068576806E-3</v>
      </c>
      <c r="D109" s="15">
        <v>5000</v>
      </c>
      <c r="E109" s="15">
        <f>D109</f>
        <v>5000</v>
      </c>
      <c r="F109" s="15">
        <f t="shared" ref="F109:O112" si="45">E109</f>
        <v>5000</v>
      </c>
      <c r="G109" s="15">
        <f t="shared" si="45"/>
        <v>5000</v>
      </c>
      <c r="H109" s="15">
        <f t="shared" si="45"/>
        <v>5000</v>
      </c>
      <c r="I109" s="15">
        <f t="shared" si="45"/>
        <v>5000</v>
      </c>
      <c r="J109" s="15">
        <f t="shared" si="45"/>
        <v>5000</v>
      </c>
      <c r="K109" s="15">
        <f t="shared" si="45"/>
        <v>5000</v>
      </c>
      <c r="L109" s="15">
        <f t="shared" si="45"/>
        <v>5000</v>
      </c>
      <c r="M109" s="15">
        <f t="shared" si="45"/>
        <v>5000</v>
      </c>
      <c r="N109" s="15">
        <f t="shared" si="45"/>
        <v>5000</v>
      </c>
      <c r="O109" s="15">
        <f t="shared" si="45"/>
        <v>5000</v>
      </c>
      <c r="P109" s="15">
        <f>SUM(D109:O109)</f>
        <v>60000</v>
      </c>
    </row>
    <row r="110" spans="1:255" x14ac:dyDescent="0.3">
      <c r="A110" s="22">
        <v>7020</v>
      </c>
      <c r="B110" s="21" t="s">
        <v>48</v>
      </c>
      <c r="C110" s="14">
        <f>P110/$P$7</f>
        <v>3.031108264114608E-3</v>
      </c>
      <c r="D110" s="15">
        <v>3000</v>
      </c>
      <c r="E110" s="15">
        <f>D110</f>
        <v>3000</v>
      </c>
      <c r="F110" s="15">
        <f t="shared" si="45"/>
        <v>3000</v>
      </c>
      <c r="G110" s="15">
        <f t="shared" si="45"/>
        <v>3000</v>
      </c>
      <c r="H110" s="15">
        <f t="shared" si="45"/>
        <v>3000</v>
      </c>
      <c r="I110" s="15">
        <f t="shared" si="45"/>
        <v>3000</v>
      </c>
      <c r="J110" s="15">
        <f t="shared" si="45"/>
        <v>3000</v>
      </c>
      <c r="K110" s="15">
        <f t="shared" si="45"/>
        <v>3000</v>
      </c>
      <c r="L110" s="15">
        <f t="shared" si="45"/>
        <v>3000</v>
      </c>
      <c r="M110" s="15">
        <f t="shared" si="45"/>
        <v>3000</v>
      </c>
      <c r="N110" s="15">
        <f t="shared" si="45"/>
        <v>3000</v>
      </c>
      <c r="O110" s="15">
        <f t="shared" si="45"/>
        <v>3000</v>
      </c>
      <c r="P110" s="15">
        <f>SUM(D110:O110)</f>
        <v>36000</v>
      </c>
    </row>
    <row r="111" spans="1:255" s="7" customFormat="1" x14ac:dyDescent="0.3">
      <c r="A111" s="22">
        <v>7040</v>
      </c>
      <c r="B111" s="21" t="s">
        <v>49</v>
      </c>
      <c r="C111" s="14">
        <f>P111/$P$7</f>
        <v>0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f>SUM(D111:O111)</f>
        <v>0</v>
      </c>
      <c r="Q111" s="84"/>
    </row>
    <row r="112" spans="1:255" s="7" customFormat="1" x14ac:dyDescent="0.3">
      <c r="A112" s="22">
        <v>7090</v>
      </c>
      <c r="B112" s="43" t="s">
        <v>92</v>
      </c>
      <c r="C112" s="14">
        <f>P112/$P$7</f>
        <v>5.0518471068576806E-3</v>
      </c>
      <c r="D112" s="15">
        <v>5000</v>
      </c>
      <c r="E112" s="15">
        <f>D112</f>
        <v>5000</v>
      </c>
      <c r="F112" s="15">
        <f t="shared" si="45"/>
        <v>5000</v>
      </c>
      <c r="G112" s="15">
        <f t="shared" si="45"/>
        <v>5000</v>
      </c>
      <c r="H112" s="15">
        <f t="shared" si="45"/>
        <v>5000</v>
      </c>
      <c r="I112" s="15">
        <f t="shared" si="45"/>
        <v>5000</v>
      </c>
      <c r="J112" s="15">
        <f t="shared" si="45"/>
        <v>5000</v>
      </c>
      <c r="K112" s="15">
        <f t="shared" si="45"/>
        <v>5000</v>
      </c>
      <c r="L112" s="15">
        <f t="shared" si="45"/>
        <v>5000</v>
      </c>
      <c r="M112" s="15">
        <f t="shared" si="45"/>
        <v>5000</v>
      </c>
      <c r="N112" s="15">
        <f t="shared" si="45"/>
        <v>5000</v>
      </c>
      <c r="O112" s="15">
        <f t="shared" si="45"/>
        <v>5000</v>
      </c>
      <c r="P112" s="15">
        <f>SUM(D112:O112)</f>
        <v>60000</v>
      </c>
      <c r="Q112" s="84"/>
    </row>
    <row r="113" spans="1:17" s="7" customFormat="1" x14ac:dyDescent="0.3">
      <c r="A113" s="23"/>
      <c r="B113" s="20" t="s">
        <v>91</v>
      </c>
      <c r="C113" s="26">
        <f>P113/$P$7</f>
        <v>1.3134802477829969E-2</v>
      </c>
      <c r="D113" s="17">
        <f>SUM(D109:D112)</f>
        <v>13000</v>
      </c>
      <c r="E113" s="17">
        <f t="shared" ref="E113:P113" si="46">SUM(E109:E112)</f>
        <v>13000</v>
      </c>
      <c r="F113" s="17">
        <f t="shared" si="46"/>
        <v>13000</v>
      </c>
      <c r="G113" s="17">
        <f t="shared" si="46"/>
        <v>13000</v>
      </c>
      <c r="H113" s="17">
        <f t="shared" si="46"/>
        <v>13000</v>
      </c>
      <c r="I113" s="17">
        <f t="shared" si="46"/>
        <v>13000</v>
      </c>
      <c r="J113" s="17">
        <f t="shared" si="46"/>
        <v>13000</v>
      </c>
      <c r="K113" s="17">
        <f t="shared" si="46"/>
        <v>13000</v>
      </c>
      <c r="L113" s="17">
        <f t="shared" si="46"/>
        <v>13000</v>
      </c>
      <c r="M113" s="17">
        <f t="shared" si="46"/>
        <v>13000</v>
      </c>
      <c r="N113" s="17">
        <f t="shared" si="46"/>
        <v>13000</v>
      </c>
      <c r="O113" s="17">
        <f t="shared" si="46"/>
        <v>13000</v>
      </c>
      <c r="P113" s="17">
        <f t="shared" si="46"/>
        <v>156000</v>
      </c>
      <c r="Q113" s="84"/>
    </row>
    <row r="114" spans="1:17" s="7" customFormat="1" x14ac:dyDescent="0.3">
      <c r="A114" s="23"/>
      <c r="B114" s="23"/>
      <c r="C114" s="14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84"/>
    </row>
    <row r="115" spans="1:17" x14ac:dyDescent="0.3">
      <c r="A115" s="23" t="s">
        <v>129</v>
      </c>
      <c r="B115" s="21"/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7" x14ac:dyDescent="0.3">
      <c r="A116" s="22">
        <v>7100</v>
      </c>
      <c r="B116" s="43" t="s">
        <v>94</v>
      </c>
      <c r="C116" s="14">
        <f>P116/$P$7</f>
        <v>5.0518471068576804E-4</v>
      </c>
      <c r="D116" s="15">
        <v>500</v>
      </c>
      <c r="E116" s="15">
        <f t="shared" ref="E116:O119" si="47">D116</f>
        <v>500</v>
      </c>
      <c r="F116" s="15">
        <f t="shared" si="47"/>
        <v>500</v>
      </c>
      <c r="G116" s="15">
        <f t="shared" si="47"/>
        <v>500</v>
      </c>
      <c r="H116" s="15">
        <f t="shared" si="47"/>
        <v>500</v>
      </c>
      <c r="I116" s="15">
        <f t="shared" si="47"/>
        <v>500</v>
      </c>
      <c r="J116" s="15">
        <f t="shared" si="47"/>
        <v>500</v>
      </c>
      <c r="K116" s="15">
        <f t="shared" si="47"/>
        <v>500</v>
      </c>
      <c r="L116" s="15">
        <f t="shared" si="47"/>
        <v>500</v>
      </c>
      <c r="M116" s="15">
        <f t="shared" si="47"/>
        <v>500</v>
      </c>
      <c r="N116" s="15">
        <f t="shared" si="47"/>
        <v>500</v>
      </c>
      <c r="O116" s="15">
        <f t="shared" si="47"/>
        <v>500</v>
      </c>
      <c r="P116" s="15">
        <f>SUM(D116:O116)</f>
        <v>6000</v>
      </c>
    </row>
    <row r="117" spans="1:17" x14ac:dyDescent="0.3">
      <c r="A117" s="22">
        <v>7140</v>
      </c>
      <c r="B117" s="43" t="s">
        <v>95</v>
      </c>
      <c r="C117" s="14">
        <f>P117/$P$7</f>
        <v>2.0207388427430722E-4</v>
      </c>
      <c r="D117" s="15">
        <v>200</v>
      </c>
      <c r="E117" s="15">
        <f t="shared" si="47"/>
        <v>200</v>
      </c>
      <c r="F117" s="15">
        <f t="shared" si="47"/>
        <v>200</v>
      </c>
      <c r="G117" s="15">
        <f t="shared" si="47"/>
        <v>200</v>
      </c>
      <c r="H117" s="15">
        <f t="shared" si="47"/>
        <v>200</v>
      </c>
      <c r="I117" s="15">
        <f t="shared" si="47"/>
        <v>200</v>
      </c>
      <c r="J117" s="15">
        <f t="shared" si="47"/>
        <v>200</v>
      </c>
      <c r="K117" s="15">
        <f t="shared" si="47"/>
        <v>200</v>
      </c>
      <c r="L117" s="15">
        <f t="shared" si="47"/>
        <v>200</v>
      </c>
      <c r="M117" s="15">
        <f t="shared" si="47"/>
        <v>200</v>
      </c>
      <c r="N117" s="15">
        <f t="shared" si="47"/>
        <v>200</v>
      </c>
      <c r="O117" s="15">
        <f t="shared" si="47"/>
        <v>200</v>
      </c>
      <c r="P117" s="15">
        <f>SUM(D117:O117)</f>
        <v>2400</v>
      </c>
    </row>
    <row r="118" spans="1:17" s="7" customFormat="1" x14ac:dyDescent="0.3">
      <c r="A118" s="22">
        <v>7150</v>
      </c>
      <c r="B118" s="43" t="s">
        <v>176</v>
      </c>
      <c r="C118" s="14">
        <f>P118/$P$7</f>
        <v>1.0103694213715361E-3</v>
      </c>
      <c r="D118" s="15">
        <v>1000</v>
      </c>
      <c r="E118" s="15">
        <f t="shared" si="47"/>
        <v>1000</v>
      </c>
      <c r="F118" s="15">
        <f t="shared" si="47"/>
        <v>1000</v>
      </c>
      <c r="G118" s="15">
        <f t="shared" si="47"/>
        <v>1000</v>
      </c>
      <c r="H118" s="15">
        <f t="shared" si="47"/>
        <v>1000</v>
      </c>
      <c r="I118" s="15">
        <f t="shared" si="47"/>
        <v>1000</v>
      </c>
      <c r="J118" s="15">
        <f t="shared" si="47"/>
        <v>1000</v>
      </c>
      <c r="K118" s="15">
        <f t="shared" si="47"/>
        <v>1000</v>
      </c>
      <c r="L118" s="15">
        <f t="shared" si="47"/>
        <v>1000</v>
      </c>
      <c r="M118" s="15">
        <f t="shared" si="47"/>
        <v>1000</v>
      </c>
      <c r="N118" s="15">
        <f t="shared" si="47"/>
        <v>1000</v>
      </c>
      <c r="O118" s="15">
        <f t="shared" si="47"/>
        <v>1000</v>
      </c>
      <c r="P118" s="15">
        <f>SUM(D118:O118)</f>
        <v>12000</v>
      </c>
      <c r="Q118" s="84"/>
    </row>
    <row r="119" spans="1:17" s="7" customFormat="1" x14ac:dyDescent="0.3">
      <c r="A119" s="22">
        <v>7160</v>
      </c>
      <c r="B119" s="43" t="s">
        <v>97</v>
      </c>
      <c r="C119" s="14">
        <f>P119/$P$7</f>
        <v>1.0103694213715361E-4</v>
      </c>
      <c r="D119" s="15">
        <v>100</v>
      </c>
      <c r="E119" s="15">
        <f t="shared" si="47"/>
        <v>100</v>
      </c>
      <c r="F119" s="15">
        <f t="shared" si="47"/>
        <v>100</v>
      </c>
      <c r="G119" s="15">
        <f t="shared" si="47"/>
        <v>100</v>
      </c>
      <c r="H119" s="15">
        <f t="shared" si="47"/>
        <v>100</v>
      </c>
      <c r="I119" s="15">
        <f t="shared" si="47"/>
        <v>100</v>
      </c>
      <c r="J119" s="15">
        <f t="shared" si="47"/>
        <v>100</v>
      </c>
      <c r="K119" s="15">
        <f t="shared" si="47"/>
        <v>100</v>
      </c>
      <c r="L119" s="15">
        <f t="shared" si="47"/>
        <v>100</v>
      </c>
      <c r="M119" s="15">
        <f t="shared" si="47"/>
        <v>100</v>
      </c>
      <c r="N119" s="15">
        <f t="shared" si="47"/>
        <v>100</v>
      </c>
      <c r="O119" s="15">
        <f t="shared" si="47"/>
        <v>100</v>
      </c>
      <c r="P119" s="15">
        <f>SUM(D119:O119)</f>
        <v>1200</v>
      </c>
      <c r="Q119" s="84"/>
    </row>
    <row r="120" spans="1:17" s="7" customFormat="1" x14ac:dyDescent="0.3">
      <c r="A120" s="23"/>
      <c r="B120" s="20" t="s">
        <v>93</v>
      </c>
      <c r="C120" s="26">
        <f>P120/$P$7</f>
        <v>1.8186649584687649E-3</v>
      </c>
      <c r="D120" s="17">
        <f t="shared" ref="D120:P120" si="48">SUM(D116:D119)</f>
        <v>1800</v>
      </c>
      <c r="E120" s="17">
        <f t="shared" si="48"/>
        <v>1800</v>
      </c>
      <c r="F120" s="17">
        <f t="shared" si="48"/>
        <v>1800</v>
      </c>
      <c r="G120" s="17">
        <f t="shared" si="48"/>
        <v>1800</v>
      </c>
      <c r="H120" s="17">
        <f t="shared" si="48"/>
        <v>1800</v>
      </c>
      <c r="I120" s="17">
        <f t="shared" si="48"/>
        <v>1800</v>
      </c>
      <c r="J120" s="17">
        <f t="shared" si="48"/>
        <v>1800</v>
      </c>
      <c r="K120" s="17">
        <f t="shared" si="48"/>
        <v>1800</v>
      </c>
      <c r="L120" s="17">
        <f t="shared" si="48"/>
        <v>1800</v>
      </c>
      <c r="M120" s="17">
        <f t="shared" si="48"/>
        <v>1800</v>
      </c>
      <c r="N120" s="17">
        <f t="shared" si="48"/>
        <v>1800</v>
      </c>
      <c r="O120" s="17">
        <f t="shared" si="48"/>
        <v>1800</v>
      </c>
      <c r="P120" s="17">
        <f t="shared" si="48"/>
        <v>21600</v>
      </c>
      <c r="Q120" s="84"/>
    </row>
    <row r="121" spans="1:17" s="7" customFormat="1" x14ac:dyDescent="0.3">
      <c r="A121" s="23"/>
      <c r="B121" s="23"/>
      <c r="C121" s="14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84"/>
    </row>
    <row r="122" spans="1:17" x14ac:dyDescent="0.3">
      <c r="A122" s="23" t="s">
        <v>98</v>
      </c>
      <c r="B122" s="21"/>
      <c r="C122" s="1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7" x14ac:dyDescent="0.3">
      <c r="A123" s="22">
        <v>7320</v>
      </c>
      <c r="B123" s="43" t="s">
        <v>100</v>
      </c>
      <c r="C123" s="14">
        <f>P123/$P$7</f>
        <v>1.0103694213715361E-3</v>
      </c>
      <c r="D123" s="15">
        <v>1000</v>
      </c>
      <c r="E123" s="15">
        <f t="shared" ref="E123:O125" si="49">D123</f>
        <v>1000</v>
      </c>
      <c r="F123" s="15">
        <f t="shared" si="49"/>
        <v>1000</v>
      </c>
      <c r="G123" s="15">
        <f t="shared" si="49"/>
        <v>1000</v>
      </c>
      <c r="H123" s="15">
        <f t="shared" si="49"/>
        <v>1000</v>
      </c>
      <c r="I123" s="15">
        <f t="shared" si="49"/>
        <v>1000</v>
      </c>
      <c r="J123" s="15">
        <f t="shared" si="49"/>
        <v>1000</v>
      </c>
      <c r="K123" s="15">
        <f t="shared" si="49"/>
        <v>1000</v>
      </c>
      <c r="L123" s="15">
        <f t="shared" si="49"/>
        <v>1000</v>
      </c>
      <c r="M123" s="15">
        <f t="shared" si="49"/>
        <v>1000</v>
      </c>
      <c r="N123" s="15">
        <f t="shared" si="49"/>
        <v>1000</v>
      </c>
      <c r="O123" s="15">
        <f t="shared" si="49"/>
        <v>1000</v>
      </c>
      <c r="P123" s="15">
        <f>SUM(D123:O123)</f>
        <v>12000</v>
      </c>
    </row>
    <row r="124" spans="1:17" x14ac:dyDescent="0.3">
      <c r="A124" s="22">
        <v>7323</v>
      </c>
      <c r="B124" s="43" t="s">
        <v>101</v>
      </c>
      <c r="C124" s="14">
        <f>P124/$P$7</f>
        <v>1.0103694213715361E-3</v>
      </c>
      <c r="D124" s="15">
        <v>1000</v>
      </c>
      <c r="E124" s="15">
        <f t="shared" si="49"/>
        <v>1000</v>
      </c>
      <c r="F124" s="15">
        <f t="shared" si="49"/>
        <v>1000</v>
      </c>
      <c r="G124" s="15">
        <f t="shared" si="49"/>
        <v>1000</v>
      </c>
      <c r="H124" s="15">
        <f t="shared" si="49"/>
        <v>1000</v>
      </c>
      <c r="I124" s="15">
        <f t="shared" si="49"/>
        <v>1000</v>
      </c>
      <c r="J124" s="15">
        <f t="shared" si="49"/>
        <v>1000</v>
      </c>
      <c r="K124" s="15">
        <f t="shared" si="49"/>
        <v>1000</v>
      </c>
      <c r="L124" s="15">
        <f t="shared" si="49"/>
        <v>1000</v>
      </c>
      <c r="M124" s="15">
        <f t="shared" si="49"/>
        <v>1000</v>
      </c>
      <c r="N124" s="15">
        <f t="shared" si="49"/>
        <v>1000</v>
      </c>
      <c r="O124" s="15">
        <f t="shared" si="49"/>
        <v>1000</v>
      </c>
      <c r="P124" s="15">
        <f>SUM(D124:O124)</f>
        <v>12000</v>
      </c>
    </row>
    <row r="125" spans="1:17" s="7" customFormat="1" x14ac:dyDescent="0.3">
      <c r="A125" s="22">
        <v>7390</v>
      </c>
      <c r="B125" s="43" t="s">
        <v>102</v>
      </c>
      <c r="C125" s="14">
        <f>P125/$P$7</f>
        <v>1.0103694213715361E-3</v>
      </c>
      <c r="D125" s="15">
        <v>1000</v>
      </c>
      <c r="E125" s="15">
        <f t="shared" si="49"/>
        <v>1000</v>
      </c>
      <c r="F125" s="15">
        <f t="shared" si="49"/>
        <v>1000</v>
      </c>
      <c r="G125" s="15">
        <f t="shared" si="49"/>
        <v>1000</v>
      </c>
      <c r="H125" s="15">
        <f t="shared" si="49"/>
        <v>1000</v>
      </c>
      <c r="I125" s="15">
        <f t="shared" si="49"/>
        <v>1000</v>
      </c>
      <c r="J125" s="15">
        <f t="shared" si="49"/>
        <v>1000</v>
      </c>
      <c r="K125" s="15">
        <f t="shared" si="49"/>
        <v>1000</v>
      </c>
      <c r="L125" s="15">
        <f t="shared" si="49"/>
        <v>1000</v>
      </c>
      <c r="M125" s="15">
        <f t="shared" si="49"/>
        <v>1000</v>
      </c>
      <c r="N125" s="15">
        <f t="shared" si="49"/>
        <v>1000</v>
      </c>
      <c r="O125" s="15">
        <f t="shared" si="49"/>
        <v>1000</v>
      </c>
      <c r="P125" s="15">
        <f>SUM(D125:O125)</f>
        <v>12000</v>
      </c>
      <c r="Q125" s="84"/>
    </row>
    <row r="126" spans="1:17" s="7" customFormat="1" x14ac:dyDescent="0.3">
      <c r="A126" s="23"/>
      <c r="B126" s="20" t="s">
        <v>99</v>
      </c>
      <c r="C126" s="26">
        <f>P126/$P$7</f>
        <v>3.031108264114608E-3</v>
      </c>
      <c r="D126" s="17">
        <f t="shared" ref="D126:P126" si="50">SUM(D123:D125)</f>
        <v>3000</v>
      </c>
      <c r="E126" s="17">
        <f t="shared" si="50"/>
        <v>3000</v>
      </c>
      <c r="F126" s="17">
        <f t="shared" si="50"/>
        <v>3000</v>
      </c>
      <c r="G126" s="17">
        <f t="shared" si="50"/>
        <v>3000</v>
      </c>
      <c r="H126" s="17">
        <f t="shared" si="50"/>
        <v>3000</v>
      </c>
      <c r="I126" s="17">
        <f t="shared" si="50"/>
        <v>3000</v>
      </c>
      <c r="J126" s="17">
        <f t="shared" si="50"/>
        <v>3000</v>
      </c>
      <c r="K126" s="17">
        <f t="shared" si="50"/>
        <v>3000</v>
      </c>
      <c r="L126" s="17">
        <f t="shared" si="50"/>
        <v>3000</v>
      </c>
      <c r="M126" s="17">
        <f t="shared" si="50"/>
        <v>3000</v>
      </c>
      <c r="N126" s="17">
        <f t="shared" si="50"/>
        <v>3000</v>
      </c>
      <c r="O126" s="17">
        <f t="shared" si="50"/>
        <v>3000</v>
      </c>
      <c r="P126" s="17">
        <f t="shared" si="50"/>
        <v>36000</v>
      </c>
      <c r="Q126" s="84"/>
    </row>
    <row r="127" spans="1:17" s="7" customFormat="1" x14ac:dyDescent="0.3">
      <c r="A127" s="23"/>
      <c r="B127" s="23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84"/>
    </row>
    <row r="128" spans="1:17" x14ac:dyDescent="0.3">
      <c r="A128" s="23" t="s">
        <v>103</v>
      </c>
      <c r="B128" s="21"/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7" x14ac:dyDescent="0.3">
      <c r="A129" s="22">
        <v>7400</v>
      </c>
      <c r="B129" s="43" t="s">
        <v>192</v>
      </c>
      <c r="C129" s="14">
        <f>P129/$P$7</f>
        <v>5.0518471068576804E-4</v>
      </c>
      <c r="D129" s="15">
        <v>500</v>
      </c>
      <c r="E129" s="15">
        <f t="shared" ref="E129:O129" si="51">D129</f>
        <v>500</v>
      </c>
      <c r="F129" s="15">
        <f t="shared" si="51"/>
        <v>500</v>
      </c>
      <c r="G129" s="15">
        <f t="shared" si="51"/>
        <v>500</v>
      </c>
      <c r="H129" s="15">
        <f t="shared" si="51"/>
        <v>500</v>
      </c>
      <c r="I129" s="15">
        <f t="shared" si="51"/>
        <v>500</v>
      </c>
      <c r="J129" s="15">
        <f t="shared" si="51"/>
        <v>500</v>
      </c>
      <c r="K129" s="15">
        <f t="shared" si="51"/>
        <v>500</v>
      </c>
      <c r="L129" s="15">
        <f t="shared" si="51"/>
        <v>500</v>
      </c>
      <c r="M129" s="15">
        <f t="shared" si="51"/>
        <v>500</v>
      </c>
      <c r="N129" s="15">
        <f t="shared" si="51"/>
        <v>500</v>
      </c>
      <c r="O129" s="15">
        <f t="shared" si="51"/>
        <v>500</v>
      </c>
      <c r="P129" s="15">
        <f>SUM(D129:O129)</f>
        <v>6000</v>
      </c>
    </row>
    <row r="130" spans="1:17" s="7" customFormat="1" x14ac:dyDescent="0.3">
      <c r="A130" s="23"/>
      <c r="B130" s="20" t="s">
        <v>104</v>
      </c>
      <c r="C130" s="26">
        <f>P130/$P$7</f>
        <v>5.0518471068576804E-4</v>
      </c>
      <c r="D130" s="17">
        <f t="shared" ref="D130:P130" si="52">SUM(D129:D129)</f>
        <v>500</v>
      </c>
      <c r="E130" s="17">
        <f t="shared" si="52"/>
        <v>500</v>
      </c>
      <c r="F130" s="17">
        <f t="shared" si="52"/>
        <v>500</v>
      </c>
      <c r="G130" s="17">
        <f t="shared" si="52"/>
        <v>500</v>
      </c>
      <c r="H130" s="17">
        <f t="shared" si="52"/>
        <v>500</v>
      </c>
      <c r="I130" s="17">
        <f t="shared" si="52"/>
        <v>500</v>
      </c>
      <c r="J130" s="17">
        <f t="shared" si="52"/>
        <v>500</v>
      </c>
      <c r="K130" s="17">
        <f t="shared" si="52"/>
        <v>500</v>
      </c>
      <c r="L130" s="17">
        <f t="shared" si="52"/>
        <v>500</v>
      </c>
      <c r="M130" s="17">
        <f t="shared" si="52"/>
        <v>500</v>
      </c>
      <c r="N130" s="17">
        <f t="shared" si="52"/>
        <v>500</v>
      </c>
      <c r="O130" s="17">
        <f t="shared" si="52"/>
        <v>500</v>
      </c>
      <c r="P130" s="17">
        <f t="shared" si="52"/>
        <v>6000</v>
      </c>
      <c r="Q130" s="84"/>
    </row>
    <row r="131" spans="1:17" s="7" customFormat="1" x14ac:dyDescent="0.3">
      <c r="A131" s="23"/>
      <c r="B131" s="23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84"/>
    </row>
    <row r="132" spans="1:17" x14ac:dyDescent="0.3">
      <c r="A132" s="23" t="s">
        <v>106</v>
      </c>
      <c r="B132" s="21"/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7" x14ac:dyDescent="0.3">
      <c r="A133" s="22">
        <v>7500</v>
      </c>
      <c r="B133" s="43" t="s">
        <v>107</v>
      </c>
      <c r="C133" s="14">
        <f>P133/$P$7</f>
        <v>3.031108264114608E-3</v>
      </c>
      <c r="D133" s="15">
        <v>3000</v>
      </c>
      <c r="E133" s="15">
        <f t="shared" ref="E133:O133" si="53">D133</f>
        <v>3000</v>
      </c>
      <c r="F133" s="15">
        <f t="shared" si="53"/>
        <v>3000</v>
      </c>
      <c r="G133" s="15">
        <f t="shared" si="53"/>
        <v>3000</v>
      </c>
      <c r="H133" s="15">
        <f t="shared" si="53"/>
        <v>3000</v>
      </c>
      <c r="I133" s="15">
        <f t="shared" si="53"/>
        <v>3000</v>
      </c>
      <c r="J133" s="15">
        <f t="shared" si="53"/>
        <v>3000</v>
      </c>
      <c r="K133" s="15">
        <f t="shared" si="53"/>
        <v>3000</v>
      </c>
      <c r="L133" s="15">
        <f t="shared" si="53"/>
        <v>3000</v>
      </c>
      <c r="M133" s="15">
        <f t="shared" si="53"/>
        <v>3000</v>
      </c>
      <c r="N133" s="15">
        <f t="shared" si="53"/>
        <v>3000</v>
      </c>
      <c r="O133" s="15">
        <f t="shared" si="53"/>
        <v>3000</v>
      </c>
      <c r="P133" s="15">
        <f>SUM(D133:O133)</f>
        <v>36000</v>
      </c>
    </row>
    <row r="134" spans="1:17" s="7" customFormat="1" x14ac:dyDescent="0.3">
      <c r="A134" s="23"/>
      <c r="B134" s="20" t="s">
        <v>108</v>
      </c>
      <c r="C134" s="26">
        <f>P134/$P$7</f>
        <v>3.031108264114608E-3</v>
      </c>
      <c r="D134" s="17">
        <f t="shared" ref="D134:P134" si="54">SUM(D133:D133)</f>
        <v>3000</v>
      </c>
      <c r="E134" s="17">
        <f t="shared" si="54"/>
        <v>3000</v>
      </c>
      <c r="F134" s="17">
        <f t="shared" si="54"/>
        <v>3000</v>
      </c>
      <c r="G134" s="17">
        <f t="shared" si="54"/>
        <v>3000</v>
      </c>
      <c r="H134" s="17">
        <f t="shared" si="54"/>
        <v>3000</v>
      </c>
      <c r="I134" s="17">
        <f t="shared" si="54"/>
        <v>3000</v>
      </c>
      <c r="J134" s="17">
        <f t="shared" si="54"/>
        <v>3000</v>
      </c>
      <c r="K134" s="17">
        <f t="shared" si="54"/>
        <v>3000</v>
      </c>
      <c r="L134" s="17">
        <f t="shared" si="54"/>
        <v>3000</v>
      </c>
      <c r="M134" s="17">
        <f t="shared" si="54"/>
        <v>3000</v>
      </c>
      <c r="N134" s="17">
        <f t="shared" si="54"/>
        <v>3000</v>
      </c>
      <c r="O134" s="17">
        <f t="shared" si="54"/>
        <v>3000</v>
      </c>
      <c r="P134" s="17">
        <f t="shared" si="54"/>
        <v>36000</v>
      </c>
      <c r="Q134" s="84"/>
    </row>
    <row r="135" spans="1:17" s="7" customFormat="1" x14ac:dyDescent="0.3">
      <c r="A135" s="23"/>
      <c r="B135" s="23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84"/>
    </row>
    <row r="136" spans="1:17" x14ac:dyDescent="0.3">
      <c r="A136" s="23" t="s">
        <v>109</v>
      </c>
      <c r="B136" s="21"/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7" x14ac:dyDescent="0.3">
      <c r="A137" s="22">
        <v>7550</v>
      </c>
      <c r="B137" s="43" t="s">
        <v>155</v>
      </c>
      <c r="C137" s="14">
        <f t="shared" ref="C137:C142" si="55">P137/$P$7</f>
        <v>5.0518471068576804E-4</v>
      </c>
      <c r="D137" s="15">
        <v>500</v>
      </c>
      <c r="E137" s="15">
        <f t="shared" ref="E137:O137" si="56">D137</f>
        <v>500</v>
      </c>
      <c r="F137" s="15">
        <f t="shared" si="56"/>
        <v>500</v>
      </c>
      <c r="G137" s="15">
        <f t="shared" si="56"/>
        <v>500</v>
      </c>
      <c r="H137" s="15">
        <f t="shared" si="56"/>
        <v>500</v>
      </c>
      <c r="I137" s="15">
        <f t="shared" si="56"/>
        <v>500</v>
      </c>
      <c r="J137" s="15">
        <f t="shared" si="56"/>
        <v>500</v>
      </c>
      <c r="K137" s="15">
        <f t="shared" si="56"/>
        <v>500</v>
      </c>
      <c r="L137" s="15">
        <f t="shared" si="56"/>
        <v>500</v>
      </c>
      <c r="M137" s="15">
        <f t="shared" si="56"/>
        <v>500</v>
      </c>
      <c r="N137" s="15">
        <f t="shared" si="56"/>
        <v>500</v>
      </c>
      <c r="O137" s="15">
        <f t="shared" si="56"/>
        <v>500</v>
      </c>
      <c r="P137" s="15">
        <f>SUM(D137:O137)</f>
        <v>6000</v>
      </c>
    </row>
    <row r="138" spans="1:17" x14ac:dyDescent="0.3">
      <c r="A138" s="22">
        <v>7560</v>
      </c>
      <c r="B138" s="43" t="s">
        <v>193</v>
      </c>
      <c r="C138" s="14">
        <f t="shared" si="55"/>
        <v>1.0103694213715361E-3</v>
      </c>
      <c r="D138" s="15">
        <v>1000</v>
      </c>
      <c r="E138" s="15">
        <f t="shared" ref="E138:O138" si="57">D138</f>
        <v>1000</v>
      </c>
      <c r="F138" s="15">
        <f t="shared" si="57"/>
        <v>1000</v>
      </c>
      <c r="G138" s="15">
        <f t="shared" si="57"/>
        <v>1000</v>
      </c>
      <c r="H138" s="15">
        <f t="shared" si="57"/>
        <v>1000</v>
      </c>
      <c r="I138" s="15">
        <f t="shared" si="57"/>
        <v>1000</v>
      </c>
      <c r="J138" s="15">
        <f t="shared" si="57"/>
        <v>1000</v>
      </c>
      <c r="K138" s="15">
        <f t="shared" si="57"/>
        <v>1000</v>
      </c>
      <c r="L138" s="15">
        <f t="shared" si="57"/>
        <v>1000</v>
      </c>
      <c r="M138" s="15">
        <f t="shared" si="57"/>
        <v>1000</v>
      </c>
      <c r="N138" s="15">
        <f t="shared" si="57"/>
        <v>1000</v>
      </c>
      <c r="O138" s="15">
        <f t="shared" si="57"/>
        <v>1000</v>
      </c>
      <c r="P138" s="15">
        <f>SUM(D138:O138)</f>
        <v>12000</v>
      </c>
    </row>
    <row r="139" spans="1:17" x14ac:dyDescent="0.3">
      <c r="A139" s="22">
        <v>7710</v>
      </c>
      <c r="B139" s="43" t="s">
        <v>111</v>
      </c>
      <c r="C139" s="14">
        <f t="shared" si="55"/>
        <v>5.0518471068576804E-4</v>
      </c>
      <c r="D139" s="15">
        <v>500</v>
      </c>
      <c r="E139" s="15">
        <f t="shared" ref="E139:O141" si="58">D139</f>
        <v>500</v>
      </c>
      <c r="F139" s="15">
        <f t="shared" si="58"/>
        <v>500</v>
      </c>
      <c r="G139" s="15">
        <f t="shared" si="58"/>
        <v>500</v>
      </c>
      <c r="H139" s="15">
        <f t="shared" si="58"/>
        <v>500</v>
      </c>
      <c r="I139" s="15">
        <f t="shared" si="58"/>
        <v>500</v>
      </c>
      <c r="J139" s="15">
        <f t="shared" si="58"/>
        <v>500</v>
      </c>
      <c r="K139" s="15">
        <f t="shared" si="58"/>
        <v>500</v>
      </c>
      <c r="L139" s="15">
        <f t="shared" si="58"/>
        <v>500</v>
      </c>
      <c r="M139" s="15">
        <f t="shared" si="58"/>
        <v>500</v>
      </c>
      <c r="N139" s="15">
        <f t="shared" si="58"/>
        <v>500</v>
      </c>
      <c r="O139" s="15">
        <f t="shared" si="58"/>
        <v>500</v>
      </c>
      <c r="P139" s="15">
        <f>SUM(D139:O139)</f>
        <v>6000</v>
      </c>
    </row>
    <row r="140" spans="1:17" x14ac:dyDescent="0.3">
      <c r="A140" s="22">
        <v>7770</v>
      </c>
      <c r="B140" s="43" t="s">
        <v>112</v>
      </c>
      <c r="C140" s="14">
        <f t="shared" si="55"/>
        <v>1.0103694213715361E-3</v>
      </c>
      <c r="D140" s="15">
        <v>1000</v>
      </c>
      <c r="E140" s="15">
        <f t="shared" si="58"/>
        <v>1000</v>
      </c>
      <c r="F140" s="15">
        <f t="shared" si="58"/>
        <v>1000</v>
      </c>
      <c r="G140" s="15">
        <f t="shared" si="58"/>
        <v>1000</v>
      </c>
      <c r="H140" s="15">
        <f t="shared" si="58"/>
        <v>1000</v>
      </c>
      <c r="I140" s="15">
        <f t="shared" si="58"/>
        <v>1000</v>
      </c>
      <c r="J140" s="15">
        <f t="shared" si="58"/>
        <v>1000</v>
      </c>
      <c r="K140" s="15">
        <f t="shared" si="58"/>
        <v>1000</v>
      </c>
      <c r="L140" s="15">
        <f t="shared" si="58"/>
        <v>1000</v>
      </c>
      <c r="M140" s="15">
        <f t="shared" si="58"/>
        <v>1000</v>
      </c>
      <c r="N140" s="15">
        <f t="shared" si="58"/>
        <v>1000</v>
      </c>
      <c r="O140" s="15">
        <f t="shared" si="58"/>
        <v>1000</v>
      </c>
      <c r="P140" s="15">
        <f>SUM(D140:O140)</f>
        <v>12000</v>
      </c>
    </row>
    <row r="141" spans="1:17" s="7" customFormat="1" x14ac:dyDescent="0.3">
      <c r="A141" s="22">
        <v>7790</v>
      </c>
      <c r="B141" s="43" t="s">
        <v>113</v>
      </c>
      <c r="C141" s="14">
        <f t="shared" si="55"/>
        <v>5.0518471068576804E-4</v>
      </c>
      <c r="D141" s="15">
        <v>500</v>
      </c>
      <c r="E141" s="15">
        <f t="shared" si="58"/>
        <v>500</v>
      </c>
      <c r="F141" s="15">
        <f t="shared" si="58"/>
        <v>500</v>
      </c>
      <c r="G141" s="15">
        <f t="shared" si="58"/>
        <v>500</v>
      </c>
      <c r="H141" s="15">
        <f t="shared" si="58"/>
        <v>500</v>
      </c>
      <c r="I141" s="15">
        <f t="shared" si="58"/>
        <v>500</v>
      </c>
      <c r="J141" s="15">
        <f t="shared" si="58"/>
        <v>500</v>
      </c>
      <c r="K141" s="15">
        <f t="shared" si="58"/>
        <v>500</v>
      </c>
      <c r="L141" s="15">
        <f t="shared" si="58"/>
        <v>500</v>
      </c>
      <c r="M141" s="15">
        <f t="shared" si="58"/>
        <v>500</v>
      </c>
      <c r="N141" s="15">
        <f t="shared" si="58"/>
        <v>500</v>
      </c>
      <c r="O141" s="15">
        <f t="shared" si="58"/>
        <v>500</v>
      </c>
      <c r="P141" s="15">
        <f>SUM(D141:O141)</f>
        <v>6000</v>
      </c>
      <c r="Q141" s="84"/>
    </row>
    <row r="142" spans="1:17" s="7" customFormat="1" x14ac:dyDescent="0.3">
      <c r="A142" s="23"/>
      <c r="B142" s="20" t="s">
        <v>110</v>
      </c>
      <c r="C142" s="26">
        <f t="shared" si="55"/>
        <v>2.0207388427430722E-3</v>
      </c>
      <c r="D142" s="17">
        <f t="shared" ref="D142:P142" si="59">SUM(D139:D141)</f>
        <v>2000</v>
      </c>
      <c r="E142" s="17">
        <f t="shared" si="59"/>
        <v>2000</v>
      </c>
      <c r="F142" s="17">
        <f t="shared" si="59"/>
        <v>2000</v>
      </c>
      <c r="G142" s="17">
        <f t="shared" si="59"/>
        <v>2000</v>
      </c>
      <c r="H142" s="17">
        <f t="shared" si="59"/>
        <v>2000</v>
      </c>
      <c r="I142" s="17">
        <f t="shared" si="59"/>
        <v>2000</v>
      </c>
      <c r="J142" s="17">
        <f t="shared" si="59"/>
        <v>2000</v>
      </c>
      <c r="K142" s="17">
        <f t="shared" si="59"/>
        <v>2000</v>
      </c>
      <c r="L142" s="17">
        <f t="shared" si="59"/>
        <v>2000</v>
      </c>
      <c r="M142" s="17">
        <f t="shared" si="59"/>
        <v>2000</v>
      </c>
      <c r="N142" s="17">
        <f t="shared" si="59"/>
        <v>2000</v>
      </c>
      <c r="O142" s="17">
        <f t="shared" si="59"/>
        <v>2000</v>
      </c>
      <c r="P142" s="17">
        <f t="shared" si="59"/>
        <v>24000</v>
      </c>
      <c r="Q142" s="84"/>
    </row>
    <row r="143" spans="1:17" s="7" customFormat="1" x14ac:dyDescent="0.3">
      <c r="A143" s="23"/>
      <c r="B143" s="23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84"/>
    </row>
    <row r="144" spans="1:17" x14ac:dyDescent="0.3">
      <c r="A144" s="23" t="s">
        <v>115</v>
      </c>
      <c r="B144" s="21"/>
      <c r="C144" s="14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7" x14ac:dyDescent="0.3">
      <c r="A145" s="22">
        <v>7830</v>
      </c>
      <c r="B145" s="43" t="s">
        <v>50</v>
      </c>
      <c r="C145" s="14">
        <f>P145/$P$7</f>
        <v>3.031108264114608E-3</v>
      </c>
      <c r="D145" s="15">
        <v>3000</v>
      </c>
      <c r="E145" s="15">
        <f t="shared" ref="E145:O145" si="60">D145</f>
        <v>3000</v>
      </c>
      <c r="F145" s="15">
        <f t="shared" si="60"/>
        <v>3000</v>
      </c>
      <c r="G145" s="15">
        <f t="shared" si="60"/>
        <v>3000</v>
      </c>
      <c r="H145" s="15">
        <f t="shared" si="60"/>
        <v>3000</v>
      </c>
      <c r="I145" s="15">
        <f t="shared" si="60"/>
        <v>3000</v>
      </c>
      <c r="J145" s="15">
        <f t="shared" si="60"/>
        <v>3000</v>
      </c>
      <c r="K145" s="15">
        <f t="shared" si="60"/>
        <v>3000</v>
      </c>
      <c r="L145" s="15">
        <f t="shared" si="60"/>
        <v>3000</v>
      </c>
      <c r="M145" s="15">
        <f t="shared" si="60"/>
        <v>3000</v>
      </c>
      <c r="N145" s="15">
        <f t="shared" si="60"/>
        <v>3000</v>
      </c>
      <c r="O145" s="15">
        <f t="shared" si="60"/>
        <v>3000</v>
      </c>
      <c r="P145" s="15">
        <f>SUM(D145:O145)</f>
        <v>36000</v>
      </c>
    </row>
    <row r="146" spans="1:17" s="7" customFormat="1" x14ac:dyDescent="0.3">
      <c r="A146" s="23"/>
      <c r="B146" s="20" t="s">
        <v>116</v>
      </c>
      <c r="C146" s="26">
        <f>P146/$P$7</f>
        <v>3.031108264114608E-3</v>
      </c>
      <c r="D146" s="17">
        <f t="shared" ref="D146:P146" si="61">SUM(D145:D145)</f>
        <v>3000</v>
      </c>
      <c r="E146" s="17">
        <f t="shared" si="61"/>
        <v>3000</v>
      </c>
      <c r="F146" s="17">
        <f t="shared" si="61"/>
        <v>3000</v>
      </c>
      <c r="G146" s="17">
        <f t="shared" si="61"/>
        <v>3000</v>
      </c>
      <c r="H146" s="17">
        <f t="shared" si="61"/>
        <v>3000</v>
      </c>
      <c r="I146" s="17">
        <f t="shared" si="61"/>
        <v>3000</v>
      </c>
      <c r="J146" s="17">
        <f t="shared" si="61"/>
        <v>3000</v>
      </c>
      <c r="K146" s="17">
        <f t="shared" si="61"/>
        <v>3000</v>
      </c>
      <c r="L146" s="17">
        <f t="shared" si="61"/>
        <v>3000</v>
      </c>
      <c r="M146" s="17">
        <f t="shared" si="61"/>
        <v>3000</v>
      </c>
      <c r="N146" s="17">
        <f t="shared" si="61"/>
        <v>3000</v>
      </c>
      <c r="O146" s="17">
        <f t="shared" si="61"/>
        <v>3000</v>
      </c>
      <c r="P146" s="17">
        <f t="shared" si="61"/>
        <v>36000</v>
      </c>
      <c r="Q146" s="84"/>
    </row>
    <row r="147" spans="1:17" s="7" customFormat="1" x14ac:dyDescent="0.3">
      <c r="A147" s="23"/>
      <c r="B147" s="23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84"/>
    </row>
    <row r="148" spans="1:17" s="7" customFormat="1" x14ac:dyDescent="0.3">
      <c r="A148" s="23"/>
      <c r="B148" s="23" t="s">
        <v>259</v>
      </c>
      <c r="C148" s="14"/>
      <c r="D148" s="16">
        <f t="shared" ref="D148:P148" si="62">D146+D142+D134+D130+D126+D120+D113+D106+D98+D91+D87+D78+D62+D55</f>
        <v>82887.899999999994</v>
      </c>
      <c r="E148" s="16">
        <f t="shared" si="62"/>
        <v>82887.899999999994</v>
      </c>
      <c r="F148" s="16">
        <f t="shared" si="62"/>
        <v>82887.899999999994</v>
      </c>
      <c r="G148" s="16">
        <f t="shared" si="62"/>
        <v>80610.122222222228</v>
      </c>
      <c r="H148" s="16">
        <f t="shared" si="62"/>
        <v>80610.122222222228</v>
      </c>
      <c r="I148" s="16">
        <f t="shared" si="62"/>
        <v>80610.122222222228</v>
      </c>
      <c r="J148" s="16">
        <f t="shared" si="62"/>
        <v>80610.122222222228</v>
      </c>
      <c r="K148" s="16">
        <f t="shared" si="62"/>
        <v>80610.122222222228</v>
      </c>
      <c r="L148" s="16">
        <f t="shared" si="62"/>
        <v>78332.344444444447</v>
      </c>
      <c r="M148" s="16">
        <f t="shared" si="62"/>
        <v>78332.344444444447</v>
      </c>
      <c r="N148" s="16">
        <f t="shared" si="62"/>
        <v>78332.344444444447</v>
      </c>
      <c r="O148" s="16">
        <f t="shared" si="62"/>
        <v>78332.344444444447</v>
      </c>
      <c r="P148" s="16">
        <f t="shared" si="62"/>
        <v>965043.68888888881</v>
      </c>
      <c r="Q148" s="108">
        <f>P148/$P$7</f>
        <v>8.1254219461743271E-2</v>
      </c>
    </row>
    <row r="149" spans="1:17" x14ac:dyDescent="0.3">
      <c r="A149" s="23"/>
      <c r="B149" s="24"/>
      <c r="C149" s="18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</row>
    <row r="150" spans="1:17" x14ac:dyDescent="0.3">
      <c r="A150" s="23" t="s">
        <v>16</v>
      </c>
      <c r="B150" s="24"/>
      <c r="C150" s="14">
        <f t="shared" ref="C150:C159" si="63">P150/$P$7</f>
        <v>2.2691495314464183E-2</v>
      </c>
      <c r="D150" s="16">
        <f t="shared" ref="D150:P150" si="64">D51-D148</f>
        <v>40657.86866749372</v>
      </c>
      <c r="E150" s="16">
        <f t="shared" si="64"/>
        <v>46738.842490801093</v>
      </c>
      <c r="F150" s="16">
        <f t="shared" si="64"/>
        <v>46738.842490801093</v>
      </c>
      <c r="G150" s="16">
        <f t="shared" si="64"/>
        <v>-23492.441650654728</v>
      </c>
      <c r="H150" s="16">
        <f t="shared" si="64"/>
        <v>-9013.1620729266579</v>
      </c>
      <c r="I150" s="16">
        <f t="shared" si="64"/>
        <v>15101.059807581405</v>
      </c>
      <c r="J150" s="16">
        <f t="shared" si="64"/>
        <v>-6626.8149335302733</v>
      </c>
      <c r="K150" s="16">
        <f t="shared" si="64"/>
        <v>17505.317696016675</v>
      </c>
      <c r="L150" s="16">
        <f t="shared" si="64"/>
        <v>48741.654629250712</v>
      </c>
      <c r="M150" s="16">
        <f t="shared" si="64"/>
        <v>58394.507681069386</v>
      </c>
      <c r="N150" s="16">
        <f t="shared" si="64"/>
        <v>48741.654629250712</v>
      </c>
      <c r="O150" s="16">
        <f t="shared" si="64"/>
        <v>-13983.979458532282</v>
      </c>
      <c r="P150" s="16">
        <f t="shared" si="64"/>
        <v>269503.34997662203</v>
      </c>
      <c r="Q150" s="108">
        <f>P150/$P$7</f>
        <v>2.2691495314464183E-2</v>
      </c>
    </row>
    <row r="151" spans="1:17" x14ac:dyDescent="0.3">
      <c r="A151" s="29"/>
      <c r="B151" s="21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7" x14ac:dyDescent="0.3">
      <c r="A152" s="23" t="s">
        <v>17</v>
      </c>
      <c r="B152" s="21"/>
      <c r="C152" s="1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7" ht="11.25" customHeight="1" outlineLevel="1" x14ac:dyDescent="0.3">
      <c r="A153" s="22">
        <v>8050</v>
      </c>
      <c r="B153" s="21" t="s">
        <v>51</v>
      </c>
      <c r="C153" s="14">
        <f t="shared" si="63"/>
        <v>-5.0518471068576804E-4</v>
      </c>
      <c r="D153" s="15">
        <v>-500</v>
      </c>
      <c r="E153" s="15">
        <f>D153</f>
        <v>-500</v>
      </c>
      <c r="F153" s="15">
        <f t="shared" ref="F153:O156" si="65">E153</f>
        <v>-500</v>
      </c>
      <c r="G153" s="15">
        <f t="shared" si="65"/>
        <v>-500</v>
      </c>
      <c r="H153" s="15">
        <f t="shared" si="65"/>
        <v>-500</v>
      </c>
      <c r="I153" s="15">
        <f t="shared" si="65"/>
        <v>-500</v>
      </c>
      <c r="J153" s="15">
        <f t="shared" si="65"/>
        <v>-500</v>
      </c>
      <c r="K153" s="15">
        <f t="shared" si="65"/>
        <v>-500</v>
      </c>
      <c r="L153" s="15">
        <f t="shared" si="65"/>
        <v>-500</v>
      </c>
      <c r="M153" s="15">
        <f t="shared" si="65"/>
        <v>-500</v>
      </c>
      <c r="N153" s="15">
        <f t="shared" si="65"/>
        <v>-500</v>
      </c>
      <c r="O153" s="15">
        <f t="shared" si="65"/>
        <v>-500</v>
      </c>
      <c r="P153" s="15">
        <f>SUM(D153:O153)</f>
        <v>-6000</v>
      </c>
    </row>
    <row r="154" spans="1:17" outlineLevel="1" x14ac:dyDescent="0.3">
      <c r="A154" s="22">
        <v>8150</v>
      </c>
      <c r="B154" s="21" t="s">
        <v>52</v>
      </c>
      <c r="C154" s="14">
        <f t="shared" si="63"/>
        <v>3.031108264114608E-3</v>
      </c>
      <c r="D154" s="15">
        <v>3000</v>
      </c>
      <c r="E154" s="15">
        <f>D154</f>
        <v>3000</v>
      </c>
      <c r="F154" s="15">
        <f t="shared" si="65"/>
        <v>3000</v>
      </c>
      <c r="G154" s="15">
        <f t="shared" si="65"/>
        <v>3000</v>
      </c>
      <c r="H154" s="15">
        <f t="shared" si="65"/>
        <v>3000</v>
      </c>
      <c r="I154" s="15">
        <f t="shared" si="65"/>
        <v>3000</v>
      </c>
      <c r="J154" s="15">
        <f t="shared" si="65"/>
        <v>3000</v>
      </c>
      <c r="K154" s="15">
        <f t="shared" si="65"/>
        <v>3000</v>
      </c>
      <c r="L154" s="15">
        <f t="shared" si="65"/>
        <v>3000</v>
      </c>
      <c r="M154" s="15">
        <f t="shared" si="65"/>
        <v>3000</v>
      </c>
      <c r="N154" s="15">
        <f t="shared" si="65"/>
        <v>3000</v>
      </c>
      <c r="O154" s="15">
        <f t="shared" si="65"/>
        <v>3000</v>
      </c>
      <c r="P154" s="15">
        <f>SUM(D154:O154)</f>
        <v>36000</v>
      </c>
    </row>
    <row r="155" spans="1:17" outlineLevel="1" x14ac:dyDescent="0.3">
      <c r="A155" s="22">
        <v>8154</v>
      </c>
      <c r="B155" s="43" t="s">
        <v>117</v>
      </c>
      <c r="C155" s="14">
        <f>P155/$P$7</f>
        <v>1.0103694213715361E-3</v>
      </c>
      <c r="D155" s="15">
        <v>1000</v>
      </c>
      <c r="E155" s="15">
        <f>D155</f>
        <v>1000</v>
      </c>
      <c r="F155" s="15">
        <f t="shared" si="65"/>
        <v>1000</v>
      </c>
      <c r="G155" s="15">
        <f t="shared" si="65"/>
        <v>1000</v>
      </c>
      <c r="H155" s="15">
        <f t="shared" si="65"/>
        <v>1000</v>
      </c>
      <c r="I155" s="15">
        <f t="shared" si="65"/>
        <v>1000</v>
      </c>
      <c r="J155" s="15">
        <f t="shared" si="65"/>
        <v>1000</v>
      </c>
      <c r="K155" s="15">
        <f t="shared" si="65"/>
        <v>1000</v>
      </c>
      <c r="L155" s="15">
        <f t="shared" si="65"/>
        <v>1000</v>
      </c>
      <c r="M155" s="15">
        <f t="shared" si="65"/>
        <v>1000</v>
      </c>
      <c r="N155" s="15">
        <f t="shared" si="65"/>
        <v>1000</v>
      </c>
      <c r="O155" s="15">
        <f t="shared" si="65"/>
        <v>1000</v>
      </c>
      <c r="P155" s="15">
        <f>SUM(D155:O155)</f>
        <v>12000</v>
      </c>
    </row>
    <row r="156" spans="1:17" outlineLevel="1" x14ac:dyDescent="0.3">
      <c r="A156" s="22">
        <v>8155</v>
      </c>
      <c r="B156" s="43" t="s">
        <v>118</v>
      </c>
      <c r="C156" s="14">
        <f t="shared" si="63"/>
        <v>1.0103694213715361E-3</v>
      </c>
      <c r="D156" s="15">
        <v>1000</v>
      </c>
      <c r="E156" s="15">
        <f>D156</f>
        <v>1000</v>
      </c>
      <c r="F156" s="15">
        <f t="shared" si="65"/>
        <v>1000</v>
      </c>
      <c r="G156" s="15">
        <f t="shared" si="65"/>
        <v>1000</v>
      </c>
      <c r="H156" s="15">
        <f t="shared" si="65"/>
        <v>1000</v>
      </c>
      <c r="I156" s="15">
        <f t="shared" si="65"/>
        <v>1000</v>
      </c>
      <c r="J156" s="15">
        <f t="shared" si="65"/>
        <v>1000</v>
      </c>
      <c r="K156" s="15">
        <f t="shared" si="65"/>
        <v>1000</v>
      </c>
      <c r="L156" s="15">
        <f t="shared" si="65"/>
        <v>1000</v>
      </c>
      <c r="M156" s="15">
        <f t="shared" si="65"/>
        <v>1000</v>
      </c>
      <c r="N156" s="15">
        <f t="shared" si="65"/>
        <v>1000</v>
      </c>
      <c r="O156" s="15">
        <f t="shared" si="65"/>
        <v>1000</v>
      </c>
      <c r="P156" s="15">
        <f>SUM(D156:O156)</f>
        <v>12000</v>
      </c>
    </row>
    <row r="157" spans="1:17" x14ac:dyDescent="0.3">
      <c r="A157" s="9"/>
      <c r="B157" s="20" t="s">
        <v>39</v>
      </c>
      <c r="C157" s="26">
        <f t="shared" si="63"/>
        <v>4.546662396171912E-3</v>
      </c>
      <c r="D157" s="17">
        <f>SUM(D153:D156)</f>
        <v>4500</v>
      </c>
      <c r="E157" s="17">
        <f t="shared" ref="E157:P157" si="66">SUM(E153:E156)</f>
        <v>4500</v>
      </c>
      <c r="F157" s="17">
        <f t="shared" si="66"/>
        <v>4500</v>
      </c>
      <c r="G157" s="17">
        <f t="shared" si="66"/>
        <v>4500</v>
      </c>
      <c r="H157" s="17">
        <f t="shared" si="66"/>
        <v>4500</v>
      </c>
      <c r="I157" s="17">
        <f t="shared" si="66"/>
        <v>4500</v>
      </c>
      <c r="J157" s="17">
        <f t="shared" si="66"/>
        <v>4500</v>
      </c>
      <c r="K157" s="17">
        <f t="shared" si="66"/>
        <v>4500</v>
      </c>
      <c r="L157" s="17">
        <f t="shared" si="66"/>
        <v>4500</v>
      </c>
      <c r="M157" s="17">
        <f t="shared" si="66"/>
        <v>4500</v>
      </c>
      <c r="N157" s="17">
        <f t="shared" si="66"/>
        <v>4500</v>
      </c>
      <c r="O157" s="17">
        <f t="shared" si="66"/>
        <v>4500</v>
      </c>
      <c r="P157" s="17">
        <f t="shared" si="66"/>
        <v>54000</v>
      </c>
    </row>
    <row r="158" spans="1:17" x14ac:dyDescent="0.3">
      <c r="A158" s="9"/>
      <c r="B158" s="24"/>
      <c r="C158" s="18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</row>
    <row r="159" spans="1:17" x14ac:dyDescent="0.3">
      <c r="A159" s="31" t="s">
        <v>22</v>
      </c>
      <c r="B159" s="25"/>
      <c r="C159" s="38">
        <f t="shared" si="63"/>
        <v>1.8144832918292268E-2</v>
      </c>
      <c r="D159" s="19">
        <f t="shared" ref="D159:O159" si="67">D150-D157</f>
        <v>36157.86866749372</v>
      </c>
      <c r="E159" s="19">
        <f t="shared" si="67"/>
        <v>42238.842490801093</v>
      </c>
      <c r="F159" s="19">
        <f t="shared" si="67"/>
        <v>42238.842490801093</v>
      </c>
      <c r="G159" s="19">
        <f t="shared" si="67"/>
        <v>-27992.441650654728</v>
      </c>
      <c r="H159" s="19">
        <f t="shared" si="67"/>
        <v>-13513.162072926658</v>
      </c>
      <c r="I159" s="19">
        <f t="shared" si="67"/>
        <v>10601.059807581405</v>
      </c>
      <c r="J159" s="19">
        <f t="shared" si="67"/>
        <v>-11126.814933530273</v>
      </c>
      <c r="K159" s="19">
        <f t="shared" si="67"/>
        <v>13005.317696016675</v>
      </c>
      <c r="L159" s="19">
        <f t="shared" si="67"/>
        <v>44241.654629250712</v>
      </c>
      <c r="M159" s="19">
        <f t="shared" si="67"/>
        <v>53894.507681069386</v>
      </c>
      <c r="N159" s="19">
        <f t="shared" si="67"/>
        <v>44241.654629250712</v>
      </c>
      <c r="O159" s="19">
        <f t="shared" si="67"/>
        <v>-18483.979458532282</v>
      </c>
      <c r="P159" s="19">
        <f>P150-P157</f>
        <v>215503.34997662203</v>
      </c>
    </row>
    <row r="160" spans="1:17" x14ac:dyDescent="0.3">
      <c r="A160" s="8"/>
      <c r="B160" s="24"/>
      <c r="C160" s="32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</row>
    <row r="161" spans="1:16" x14ac:dyDescent="0.3">
      <c r="A161" s="31" t="s">
        <v>23</v>
      </c>
      <c r="B161" s="25"/>
      <c r="C161" s="33"/>
      <c r="D161" s="19">
        <f>D159</f>
        <v>36157.86866749372</v>
      </c>
      <c r="E161" s="19">
        <f>D161+E159</f>
        <v>78396.711158294813</v>
      </c>
      <c r="F161" s="19">
        <f t="shared" ref="F161:N161" si="68">E161+F159</f>
        <v>120635.55364909591</v>
      </c>
      <c r="G161" s="19">
        <f t="shared" si="68"/>
        <v>92643.111998441178</v>
      </c>
      <c r="H161" s="19">
        <f t="shared" si="68"/>
        <v>79129.94992551452</v>
      </c>
      <c r="I161" s="19">
        <f t="shared" si="68"/>
        <v>89731.009733095925</v>
      </c>
      <c r="J161" s="19">
        <f>I161+J159</f>
        <v>78604.194799565652</v>
      </c>
      <c r="K161" s="19">
        <f t="shared" si="68"/>
        <v>91609.512495582327</v>
      </c>
      <c r="L161" s="19">
        <f t="shared" si="68"/>
        <v>135851.16712483304</v>
      </c>
      <c r="M161" s="19">
        <f>L161+M159</f>
        <v>189745.67480590241</v>
      </c>
      <c r="N161" s="19">
        <f t="shared" si="68"/>
        <v>233987.32943515311</v>
      </c>
      <c r="O161" s="19">
        <f>N161+O159</f>
        <v>215503.34997662081</v>
      </c>
      <c r="P161" s="19">
        <f>O161</f>
        <v>215503.34997662081</v>
      </c>
    </row>
    <row r="162" spans="1:16" x14ac:dyDescent="0.3"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6"/>
    </row>
    <row r="163" spans="1:16" x14ac:dyDescent="0.3"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6"/>
    </row>
    <row r="164" spans="1:16" ht="15.45" x14ac:dyDescent="0.4">
      <c r="B164" s="12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6"/>
    </row>
    <row r="165" spans="1:16" x14ac:dyDescent="0.3"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6"/>
    </row>
    <row r="166" spans="1:16" x14ac:dyDescent="0.3"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6"/>
    </row>
    <row r="167" spans="1:16" x14ac:dyDescent="0.3"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6"/>
    </row>
    <row r="168" spans="1:16" x14ac:dyDescent="0.3"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6"/>
    </row>
    <row r="169" spans="1:16" x14ac:dyDescent="0.3"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6"/>
    </row>
    <row r="170" spans="1:16" x14ac:dyDescent="0.3"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6"/>
    </row>
    <row r="171" spans="1:16" x14ac:dyDescent="0.3"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6"/>
    </row>
    <row r="172" spans="1:16" x14ac:dyDescent="0.3"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6"/>
    </row>
    <row r="173" spans="1:16" x14ac:dyDescent="0.3"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6"/>
    </row>
    <row r="174" spans="1:16" x14ac:dyDescent="0.3"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6"/>
    </row>
    <row r="175" spans="1:16" x14ac:dyDescent="0.3"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6"/>
    </row>
    <row r="176" spans="1:16" x14ac:dyDescent="0.3"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6"/>
    </row>
    <row r="177" spans="3:16" x14ac:dyDescent="0.3"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6"/>
    </row>
    <row r="178" spans="3:16" x14ac:dyDescent="0.3"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6"/>
    </row>
    <row r="179" spans="3:16" x14ac:dyDescent="0.3"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6"/>
    </row>
    <row r="180" spans="3:16" x14ac:dyDescent="0.3"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6"/>
    </row>
    <row r="181" spans="3:16" x14ac:dyDescent="0.3"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6"/>
    </row>
    <row r="182" spans="3:16" x14ac:dyDescent="0.3"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6"/>
    </row>
    <row r="183" spans="3:16" x14ac:dyDescent="0.3"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6"/>
    </row>
    <row r="184" spans="3:16" x14ac:dyDescent="0.3"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6"/>
    </row>
    <row r="185" spans="3:16" x14ac:dyDescent="0.3"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6"/>
    </row>
    <row r="186" spans="3:16" x14ac:dyDescent="0.3"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6"/>
    </row>
  </sheetData>
  <pageMargins left="0.27559055118110237" right="0.27559055118110237" top="0.27559055118110237" bottom="0.27559055118110237" header="0.31496062992125984" footer="0.31496062992125984"/>
  <pageSetup paperSize="9" scale="47" orientation="portrait" r:id="rId1"/>
  <headerFooter alignWithMargins="0"/>
  <ignoredErrors>
    <ignoredError sqref="E36:F36 G36:O36 O45 E45:N4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V185"/>
  <sheetViews>
    <sheetView zoomScale="120" zoomScaleNormal="120" workbookViewId="0">
      <selection activeCell="B6" sqref="B6"/>
    </sheetView>
  </sheetViews>
  <sheetFormatPr baseColWidth="10" defaultRowHeight="12.45" outlineLevelRow="1" x14ac:dyDescent="0.3"/>
  <cols>
    <col min="1" max="1" width="4.84375" style="1" customWidth="1"/>
    <col min="2" max="2" width="29" bestFit="1" customWidth="1"/>
    <col min="3" max="3" width="7.4609375" style="2" bestFit="1" customWidth="1"/>
    <col min="4" max="4" width="8" bestFit="1" customWidth="1"/>
    <col min="5" max="5" width="8.69140625" bestFit="1" customWidth="1"/>
    <col min="6" max="15" width="8" bestFit="1" customWidth="1"/>
    <col min="16" max="16" width="9.3046875" style="3" customWidth="1"/>
    <col min="17" max="17" width="11.53515625" style="84"/>
  </cols>
  <sheetData>
    <row r="1" spans="1:256" x14ac:dyDescent="0.3">
      <c r="A1" s="8" t="s">
        <v>324</v>
      </c>
      <c r="B1" s="7"/>
      <c r="C1" s="44" t="s">
        <v>124</v>
      </c>
    </row>
    <row r="3" spans="1:256" x14ac:dyDescent="0.3">
      <c r="A3" s="40" t="s">
        <v>0</v>
      </c>
      <c r="B3" s="41" t="s">
        <v>1</v>
      </c>
      <c r="C3" s="42" t="s">
        <v>19</v>
      </c>
      <c r="D3" s="40" t="s">
        <v>25</v>
      </c>
      <c r="E3" s="40" t="s">
        <v>35</v>
      </c>
      <c r="F3" s="40" t="s">
        <v>26</v>
      </c>
      <c r="G3" s="40" t="s">
        <v>27</v>
      </c>
      <c r="H3" s="40" t="s">
        <v>2</v>
      </c>
      <c r="I3" s="40" t="s">
        <v>28</v>
      </c>
      <c r="J3" s="40" t="s">
        <v>29</v>
      </c>
      <c r="K3" s="40" t="s">
        <v>30</v>
      </c>
      <c r="L3" s="40" t="s">
        <v>31</v>
      </c>
      <c r="M3" s="40" t="s">
        <v>32</v>
      </c>
      <c r="N3" s="40" t="s">
        <v>33</v>
      </c>
      <c r="O3" s="40" t="s">
        <v>34</v>
      </c>
      <c r="P3" s="40" t="s">
        <v>3</v>
      </c>
    </row>
    <row r="4" spans="1:256" ht="15.75" customHeight="1" x14ac:dyDescent="0.3">
      <c r="A4" s="30" t="s">
        <v>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56" x14ac:dyDescent="0.3">
      <c r="A5" s="22">
        <v>3010</v>
      </c>
      <c r="B5" s="43" t="s">
        <v>174</v>
      </c>
      <c r="C5" s="14">
        <f>P5/$P$7</f>
        <v>0.21022790687138249</v>
      </c>
      <c r="D5" s="15">
        <f>'Fritzøe - budsjett service'!D7</f>
        <v>1104964</v>
      </c>
      <c r="E5" s="15">
        <f>'Fritzøe - budsjett service'!E7</f>
        <v>1039120</v>
      </c>
      <c r="F5" s="15">
        <f>'Fritzøe - budsjett service'!F7</f>
        <v>1039120</v>
      </c>
      <c r="G5" s="15">
        <f>'Fritzøe - budsjett service'!G7</f>
        <v>940354</v>
      </c>
      <c r="H5" s="15">
        <f>'Fritzøe - budsjett service'!H7</f>
        <v>1039120</v>
      </c>
      <c r="I5" s="15">
        <f>'Fritzøe - budsjett service'!I7</f>
        <v>973276</v>
      </c>
      <c r="J5" s="15">
        <f>'Fritzøe - budsjett service'!J7</f>
        <v>709900</v>
      </c>
      <c r="K5" s="15">
        <f>'Fritzøe - budsjett service'!K7</f>
        <v>874510</v>
      </c>
      <c r="L5" s="15">
        <f>'Fritzøe - budsjett service'!L7</f>
        <v>1072042</v>
      </c>
      <c r="M5" s="15">
        <f>'Fritzøe - budsjett service'!M7</f>
        <v>1137886</v>
      </c>
      <c r="N5" s="15">
        <f>'Fritzøe - budsjett service'!N7</f>
        <v>1072042</v>
      </c>
      <c r="O5" s="15">
        <f>'Fritzøe - budsjett service'!O7</f>
        <v>874510</v>
      </c>
      <c r="P5" s="15">
        <f>SUM(D5:O5)</f>
        <v>11876844</v>
      </c>
    </row>
    <row r="6" spans="1:256" x14ac:dyDescent="0.3">
      <c r="A6" s="22">
        <v>3012</v>
      </c>
      <c r="B6" s="43" t="s">
        <v>172</v>
      </c>
      <c r="C6" s="14">
        <f>P6/$P$7</f>
        <v>0.78977209312861751</v>
      </c>
      <c r="D6" s="15">
        <f>'Fritzøe - budsj 2020'!D7</f>
        <v>3233136.602</v>
      </c>
      <c r="E6" s="15">
        <f>'Fritzøe - budsj 2020'!E7</f>
        <v>3120695.2774999999</v>
      </c>
      <c r="F6" s="15">
        <f>'Fritzøe - budsj 2020'!F7</f>
        <v>4098939.125</v>
      </c>
      <c r="G6" s="15">
        <f>'Fritzøe - budsj 2020'!G7</f>
        <v>3317342.9775</v>
      </c>
      <c r="H6" s="15">
        <f>'Fritzøe - budsj 2020'!H7</f>
        <v>4199380.6825000001</v>
      </c>
      <c r="I6" s="15">
        <f>'Fritzøe - budsj 2020'!I7</f>
        <v>4357162.5157500003</v>
      </c>
      <c r="J6" s="15">
        <f>'Fritzøe - budsj 2020'!J7</f>
        <v>2199107.4250000003</v>
      </c>
      <c r="K6" s="15">
        <f>'Fritzøe - budsj 2020'!K7</f>
        <v>3710478.9480000003</v>
      </c>
      <c r="L6" s="15">
        <f>'Fritzøe - budsj 2020'!L7</f>
        <v>4978158.5535000013</v>
      </c>
      <c r="M6" s="15">
        <f>'Fritzøe - budsj 2020'!M7</f>
        <v>4695595.7235000012</v>
      </c>
      <c r="N6" s="15">
        <f>'Fritzøe - budsj 2020'!N7</f>
        <v>3505328.9925000002</v>
      </c>
      <c r="O6" s="15">
        <f>'Fritzøe - budsj 2020'!O7</f>
        <v>3202916.7075000005</v>
      </c>
      <c r="P6" s="15">
        <f>SUM(D6:O6)</f>
        <v>44618243.530250005</v>
      </c>
    </row>
    <row r="7" spans="1:256" s="43" customFormat="1" ht="10.3" x14ac:dyDescent="0.25">
      <c r="B7" s="20" t="s">
        <v>36</v>
      </c>
      <c r="C7" s="53">
        <f>P7/$P$7</f>
        <v>1</v>
      </c>
      <c r="D7" s="17">
        <f t="shared" ref="D7:P7" si="0">SUM(D5:D6)</f>
        <v>4338100.602</v>
      </c>
      <c r="E7" s="17">
        <f t="shared" si="0"/>
        <v>4159815.2774999999</v>
      </c>
      <c r="F7" s="17">
        <f t="shared" si="0"/>
        <v>5138059.125</v>
      </c>
      <c r="G7" s="17">
        <f t="shared" si="0"/>
        <v>4257696.9775</v>
      </c>
      <c r="H7" s="17">
        <f t="shared" si="0"/>
        <v>5238500.6825000001</v>
      </c>
      <c r="I7" s="17">
        <f t="shared" si="0"/>
        <v>5330438.5157500003</v>
      </c>
      <c r="J7" s="17">
        <f t="shared" si="0"/>
        <v>2909007.4250000003</v>
      </c>
      <c r="K7" s="17">
        <f t="shared" si="0"/>
        <v>4584988.9480000008</v>
      </c>
      <c r="L7" s="17">
        <f t="shared" si="0"/>
        <v>6050200.5535000013</v>
      </c>
      <c r="M7" s="17">
        <f t="shared" si="0"/>
        <v>5833481.7235000012</v>
      </c>
      <c r="N7" s="17">
        <f t="shared" si="0"/>
        <v>4577370.9924999997</v>
      </c>
      <c r="O7" s="17">
        <f t="shared" si="0"/>
        <v>4077426.7075000005</v>
      </c>
      <c r="P7" s="17">
        <f t="shared" si="0"/>
        <v>56495087.530250005</v>
      </c>
      <c r="IV7" s="46">
        <f>SUM(D7:IU7)</f>
        <v>112990175.06050003</v>
      </c>
    </row>
    <row r="8" spans="1:256" s="21" customFormat="1" ht="15.75" customHeight="1" x14ac:dyDescent="0.25">
      <c r="B8" s="23"/>
      <c r="C8" s="1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43"/>
      <c r="IV8" s="15"/>
    </row>
    <row r="9" spans="1:256" x14ac:dyDescent="0.3">
      <c r="A9" s="23" t="s">
        <v>5</v>
      </c>
      <c r="B9" s="21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256" s="7" customFormat="1" x14ac:dyDescent="0.3">
      <c r="A10" s="22">
        <v>4300</v>
      </c>
      <c r="B10" s="43" t="s">
        <v>286</v>
      </c>
      <c r="C10" s="14">
        <f t="shared" ref="C10:C28" si="1">P10/$P$7</f>
        <v>0.2625669393466008</v>
      </c>
      <c r="D10" s="15">
        <f>'Fritzøe - budsj 2020'!D11+'Fritzøe - budsjett service'!D10</f>
        <v>1186075.8152542373</v>
      </c>
      <c r="E10" s="15">
        <f>'Fritzøe - budsj 2020'!E11+'Fritzøe - budsjett service'!E10</f>
        <v>1129816.6796995378</v>
      </c>
      <c r="F10" s="15">
        <f>'Fritzøe - budsj 2020'!F11+'Fritzøe - budsjett service'!F10</f>
        <v>1374367.8640215718</v>
      </c>
      <c r="G10" s="15">
        <f>'Fritzøe - budsj 2020'!G11+'Fritzøe - budsjett service'!G10</f>
        <v>1089124.1642912175</v>
      </c>
      <c r="H10" s="15">
        <f>'Fritzøe - budsj 2020'!H11+'Fritzøe - budsjett service'!H10</f>
        <v>1321876.2602080125</v>
      </c>
      <c r="I10" s="15">
        <f>'Fritzøe - budsj 2020'!I11+'Fritzøe - budsjett service'!I10</f>
        <v>1413032.5083397536</v>
      </c>
      <c r="J10" s="15">
        <f>'Fritzøe - budsj 2020'!J11+'Fritzøe - budsjett service'!J10</f>
        <v>707373.01040061645</v>
      </c>
      <c r="K10" s="15">
        <f>'Fritzøe - budsj 2020'!K11+'Fritzøe - budsjett service'!K10</f>
        <v>1184897.5668721111</v>
      </c>
      <c r="L10" s="15">
        <f>'Fritzøe - budsj 2020'!L11+'Fritzøe - budsjett service'!L10</f>
        <v>1633442.9328582438</v>
      </c>
      <c r="M10" s="15">
        <f>'Fritzøe - budsj 2020'!M11+'Fritzøe - budsjett service'!M10</f>
        <v>1570920.0645993841</v>
      </c>
      <c r="N10" s="15">
        <f>'Fritzøe - budsj 2020'!N11+'Fritzøe - budsjett service'!N10</f>
        <v>1190547.2201463792</v>
      </c>
      <c r="O10" s="15">
        <f>'Fritzøe - budsj 2020'!O11+'Fritzøe - budsjett service'!O10</f>
        <v>1032268.1342449924</v>
      </c>
      <c r="P10" s="15">
        <f t="shared" ref="P10:P27" si="2">SUM(D10:O10)</f>
        <v>14833742.220936056</v>
      </c>
      <c r="Q10" s="84"/>
    </row>
    <row r="11" spans="1:256" s="7" customFormat="1" x14ac:dyDescent="0.3">
      <c r="A11" s="22">
        <v>4350</v>
      </c>
      <c r="B11" s="43" t="s">
        <v>70</v>
      </c>
      <c r="C11" s="14">
        <f t="shared" si="1"/>
        <v>1.8000484439562738E-2</v>
      </c>
      <c r="D11" s="15">
        <f>'Fritzøe - budsj 2020'!D12+'Fritzøe - budsjett service'!D12</f>
        <v>86588.543999999994</v>
      </c>
      <c r="E11" s="15">
        <f>'Fritzøe - budsj 2020'!E12+'Fritzøe - budsjett service'!E12</f>
        <v>85535.040000000008</v>
      </c>
      <c r="F11" s="15">
        <f>'Fritzøe - budsj 2020'!F12+'Fritzøe - budsjett service'!F12</f>
        <v>85535.040000000008</v>
      </c>
      <c r="G11" s="15">
        <f>'Fritzøe - budsj 2020'!G12+'Fritzøe - budsjett service'!G12</f>
        <v>83954.784</v>
      </c>
      <c r="H11" s="15">
        <f>'Fritzøe - budsj 2020'!H12+'Fritzøe - budsjett service'!H12</f>
        <v>85535.040000000008</v>
      </c>
      <c r="I11" s="15">
        <f>'Fritzøe - budsj 2020'!I12+'Fritzøe - budsjett service'!I12</f>
        <v>84481.535999999993</v>
      </c>
      <c r="J11" s="15">
        <f>'Fritzøe - budsj 2020'!J12+'Fritzøe - budsjett service'!J12</f>
        <v>80267.520000000004</v>
      </c>
      <c r="K11" s="15">
        <f>'Fritzøe - budsj 2020'!K12+'Fritzøe - budsjett service'!K12</f>
        <v>82901.279999999999</v>
      </c>
      <c r="L11" s="15">
        <f>'Fritzøe - budsj 2020'!L12+'Fritzøe - budsjett service'!L12</f>
        <v>86061.792000000001</v>
      </c>
      <c r="M11" s="15">
        <f>'Fritzøe - budsj 2020'!M12+'Fritzøe - budsjett service'!M12</f>
        <v>87115.296000000002</v>
      </c>
      <c r="N11" s="15">
        <f>'Fritzøe - budsj 2020'!N12+'Fritzøe - budsjett service'!N12</f>
        <v>86061.792000000001</v>
      </c>
      <c r="O11" s="15">
        <f>'Fritzøe - budsj 2020'!O12+'Fritzøe - budsjett service'!O12</f>
        <v>82901.279999999999</v>
      </c>
      <c r="P11" s="15">
        <f t="shared" si="2"/>
        <v>1016938.944</v>
      </c>
      <c r="Q11" s="84"/>
    </row>
    <row r="12" spans="1:256" s="7" customFormat="1" x14ac:dyDescent="0.3">
      <c r="A12" s="22">
        <v>4500</v>
      </c>
      <c r="B12" s="43" t="s">
        <v>248</v>
      </c>
      <c r="C12" s="14">
        <f t="shared" si="1"/>
        <v>0</v>
      </c>
      <c r="D12" s="15">
        <f>'Fritzøe - budsj 2020'!D13+'Fritzøe - budsjett service'!D13</f>
        <v>0</v>
      </c>
      <c r="E12" s="15">
        <f>'Fritzøe - budsj 2020'!E13+'Fritzøe - budsjett service'!E13</f>
        <v>0</v>
      </c>
      <c r="F12" s="15">
        <f>'Fritzøe - budsj 2020'!F13+'Fritzøe - budsjett service'!F13</f>
        <v>0</v>
      </c>
      <c r="G12" s="15">
        <f>'Fritzøe - budsj 2020'!G13+'Fritzøe - budsjett service'!G13</f>
        <v>0</v>
      </c>
      <c r="H12" s="15">
        <f>'Fritzøe - budsj 2020'!H13+'Fritzøe - budsjett service'!H13</f>
        <v>0</v>
      </c>
      <c r="I12" s="15">
        <f>'Fritzøe - budsj 2020'!I13+'Fritzøe - budsjett service'!I13</f>
        <v>0</v>
      </c>
      <c r="J12" s="15">
        <f>'Fritzøe - budsj 2020'!J13+'Fritzøe - budsjett service'!J13</f>
        <v>0</v>
      </c>
      <c r="K12" s="15">
        <f>'Fritzøe - budsj 2020'!K13+'Fritzøe - budsjett service'!K13</f>
        <v>0</v>
      </c>
      <c r="L12" s="15">
        <f>'Fritzøe - budsj 2020'!L13+'Fritzøe - budsjett service'!L13</f>
        <v>0</v>
      </c>
      <c r="M12" s="15">
        <f>'Fritzøe - budsj 2020'!M13+'Fritzøe - budsjett service'!M13</f>
        <v>0</v>
      </c>
      <c r="N12" s="15">
        <f>'Fritzøe - budsj 2020'!N13+'Fritzøe - budsjett service'!N13</f>
        <v>0</v>
      </c>
      <c r="O12" s="15">
        <f>'Fritzøe - budsj 2020'!O13+'Fritzøe - budsjett service'!O13</f>
        <v>0</v>
      </c>
      <c r="P12" s="15">
        <f t="shared" si="2"/>
        <v>0</v>
      </c>
      <c r="Q12" s="84"/>
    </row>
    <row r="13" spans="1:256" s="7" customFormat="1" x14ac:dyDescent="0.3">
      <c r="A13" s="22">
        <v>4501</v>
      </c>
      <c r="B13" s="43" t="s">
        <v>251</v>
      </c>
      <c r="C13" s="14">
        <f t="shared" si="1"/>
        <v>1.6068327348177536E-3</v>
      </c>
      <c r="D13" s="15">
        <f>'Fritzøe - budsj 2020'!D14+'Fritzøe - budsjett service'!D14</f>
        <v>6518.5559999999996</v>
      </c>
      <c r="E13" s="15">
        <f>'Fritzøe - budsj 2020'!E14+'Fritzøe - budsjett service'!E14</f>
        <v>5925.9599999999991</v>
      </c>
      <c r="F13" s="15">
        <f>'Fritzøe - budsj 2020'!F14+'Fritzøe - budsjett service'!F14</f>
        <v>5925.9599999999991</v>
      </c>
      <c r="G13" s="15">
        <f>'Fritzøe - budsj 2020'!G14+'Fritzøe - budsjett service'!G14</f>
        <v>5037.0659999999998</v>
      </c>
      <c r="H13" s="15">
        <f>'Fritzøe - budsj 2020'!H14+'Fritzøe - budsjett service'!H14</f>
        <v>10925.96</v>
      </c>
      <c r="I13" s="15">
        <f>'Fritzøe - budsj 2020'!I14+'Fritzøe - budsjett service'!I14</f>
        <v>10333.364</v>
      </c>
      <c r="J13" s="15">
        <f>'Fritzøe - budsj 2020'!J14+'Fritzøe - budsjett service'!J14</f>
        <v>7962.98</v>
      </c>
      <c r="K13" s="15">
        <f>'Fritzøe - budsj 2020'!K14+'Fritzøe - budsjett service'!K14</f>
        <v>9444.4699999999993</v>
      </c>
      <c r="L13" s="15">
        <f>'Fritzøe - budsj 2020'!L14+'Fritzøe - budsjett service'!L14</f>
        <v>11222.258</v>
      </c>
      <c r="M13" s="15">
        <f>'Fritzøe - budsj 2020'!M14+'Fritzøe - budsjett service'!M14</f>
        <v>6814.8539999999994</v>
      </c>
      <c r="N13" s="15">
        <f>'Fritzøe - budsj 2020'!N14+'Fritzøe - budsjett service'!N14</f>
        <v>6222.2579999999998</v>
      </c>
      <c r="O13" s="15">
        <f>'Fritzøe - budsj 2020'!O14+'Fritzøe - budsjett service'!O14</f>
        <v>4444.4699999999993</v>
      </c>
      <c r="P13" s="15">
        <f t="shared" si="2"/>
        <v>90778.155999999988</v>
      </c>
      <c r="Q13" s="84"/>
    </row>
    <row r="14" spans="1:256" s="7" customFormat="1" x14ac:dyDescent="0.3">
      <c r="A14" s="22">
        <v>4502</v>
      </c>
      <c r="B14" s="43" t="s">
        <v>252</v>
      </c>
      <c r="C14" s="14">
        <f t="shared" si="1"/>
        <v>0</v>
      </c>
      <c r="D14" s="15">
        <f>'Fritzøe - budsj 2020'!D15+'Fritzøe - budsjett service'!D15</f>
        <v>0</v>
      </c>
      <c r="E14" s="15">
        <f>'Fritzøe - budsj 2020'!E15+'Fritzøe - budsjett service'!E15</f>
        <v>0</v>
      </c>
      <c r="F14" s="15">
        <f>'Fritzøe - budsj 2020'!F15+'Fritzøe - budsjett service'!F15</f>
        <v>0</v>
      </c>
      <c r="G14" s="15">
        <f>'Fritzøe - budsj 2020'!G15+'Fritzøe - budsjett service'!G15</f>
        <v>0</v>
      </c>
      <c r="H14" s="15">
        <f>'Fritzøe - budsj 2020'!H15+'Fritzøe - budsjett service'!H15</f>
        <v>0</v>
      </c>
      <c r="I14" s="15">
        <f>'Fritzøe - budsj 2020'!I15+'Fritzøe - budsjett service'!I15</f>
        <v>0</v>
      </c>
      <c r="J14" s="15">
        <f>'Fritzøe - budsj 2020'!J15+'Fritzøe - budsjett service'!J15</f>
        <v>0</v>
      </c>
      <c r="K14" s="15">
        <f>'Fritzøe - budsj 2020'!K15+'Fritzøe - budsjett service'!K15</f>
        <v>0</v>
      </c>
      <c r="L14" s="15">
        <f>'Fritzøe - budsj 2020'!L15+'Fritzøe - budsjett service'!L15</f>
        <v>0</v>
      </c>
      <c r="M14" s="15">
        <f>'Fritzøe - budsj 2020'!M15+'Fritzøe - budsjett service'!M15</f>
        <v>0</v>
      </c>
      <c r="N14" s="15">
        <f>'Fritzøe - budsj 2020'!N15+'Fritzøe - budsjett service'!N15</f>
        <v>0</v>
      </c>
      <c r="O14" s="15">
        <f>'Fritzøe - budsj 2020'!O15+'Fritzøe - budsjett service'!O15</f>
        <v>0</v>
      </c>
      <c r="P14" s="15">
        <f t="shared" si="2"/>
        <v>0</v>
      </c>
      <c r="Q14" s="84"/>
    </row>
    <row r="15" spans="1:256" s="7" customFormat="1" x14ac:dyDescent="0.3">
      <c r="A15" s="22">
        <v>4503</v>
      </c>
      <c r="B15" s="43" t="s">
        <v>253</v>
      </c>
      <c r="C15" s="14">
        <f t="shared" si="1"/>
        <v>2.9206079185495836E-3</v>
      </c>
      <c r="D15" s="15">
        <f>'Fritzøe - budsj 2020'!D16+'Fritzøe - budsjett service'!D16</f>
        <v>0</v>
      </c>
      <c r="E15" s="15">
        <f>'Fritzøe - budsj 2020'!E16+'Fritzøe - budsjett service'!E16</f>
        <v>0</v>
      </c>
      <c r="F15" s="15">
        <f>'Fritzøe - budsj 2020'!F16+'Fritzøe - budsjett service'!F16</f>
        <v>0</v>
      </c>
      <c r="G15" s="15">
        <f>'Fritzøe - budsj 2020'!G16+'Fritzøe - budsjett service'!G16</f>
        <v>0</v>
      </c>
      <c r="H15" s="15">
        <f>'Fritzøe - budsj 2020'!H16+'Fritzøe - budsjett service'!H16</f>
        <v>0</v>
      </c>
      <c r="I15" s="15">
        <f>'Fritzøe - budsj 2020'!I16+'Fritzøe - budsjett service'!I16</f>
        <v>0</v>
      </c>
      <c r="J15" s="15">
        <f>'Fritzøe - budsj 2020'!J16+'Fritzøe - budsjett service'!J16</f>
        <v>0</v>
      </c>
      <c r="K15" s="15">
        <f>'Fritzøe - budsj 2020'!K16+'Fritzøe - budsjett service'!K16</f>
        <v>0</v>
      </c>
      <c r="L15" s="15">
        <f>'Fritzøe - budsj 2020'!L16+'Fritzøe - budsjett service'!L16</f>
        <v>0</v>
      </c>
      <c r="M15" s="15">
        <f>'Fritzøe - budsj 2020'!M16+'Fritzøe - budsjett service'!M16</f>
        <v>55000</v>
      </c>
      <c r="N15" s="15">
        <f>'Fritzøe - budsj 2020'!N16+'Fritzøe - budsjett service'!N16</f>
        <v>55000</v>
      </c>
      <c r="O15" s="15">
        <f>'Fritzøe - budsj 2020'!O16+'Fritzøe - budsjett service'!O16</f>
        <v>55000</v>
      </c>
      <c r="P15" s="15">
        <f t="shared" si="2"/>
        <v>165000</v>
      </c>
      <c r="Q15" s="84"/>
    </row>
    <row r="16" spans="1:256" s="7" customFormat="1" x14ac:dyDescent="0.3">
      <c r="A16" s="22">
        <v>4504</v>
      </c>
      <c r="B16" s="43" t="s">
        <v>187</v>
      </c>
      <c r="C16" s="14">
        <f t="shared" si="1"/>
        <v>4.6021700534720714E-3</v>
      </c>
      <c r="D16" s="15">
        <f>'Fritzøe - budsj 2020'!D17+'Fritzøe - budsjett service'!D17</f>
        <v>0</v>
      </c>
      <c r="E16" s="15">
        <f>'Fritzøe - budsj 2020'!E17+'Fritzøe - budsjett service'!E17</f>
        <v>0</v>
      </c>
      <c r="F16" s="15">
        <f>'Fritzøe - budsj 2020'!F17+'Fritzøe - budsjett service'!F17</f>
        <v>0</v>
      </c>
      <c r="G16" s="15">
        <f>'Fritzøe - budsj 2020'!G17+'Fritzøe - budsjett service'!G17</f>
        <v>0</v>
      </c>
      <c r="H16" s="15">
        <f>'Fritzøe - budsj 2020'!H17+'Fritzøe - budsjett service'!H17</f>
        <v>0</v>
      </c>
      <c r="I16" s="15">
        <f>'Fritzøe - budsj 2020'!I17+'Fritzøe - budsjett service'!I17</f>
        <v>60000</v>
      </c>
      <c r="J16" s="15">
        <f>'Fritzøe - budsj 2020'!J17+'Fritzøe - budsjett service'!J17</f>
        <v>0</v>
      </c>
      <c r="K16" s="15">
        <f>'Fritzøe - budsj 2020'!K17+'Fritzøe - budsjett service'!K17</f>
        <v>0</v>
      </c>
      <c r="L16" s="15">
        <f>'Fritzøe - budsj 2020'!L17+'Fritzøe - budsjett service'!L17</f>
        <v>0</v>
      </c>
      <c r="M16" s="15">
        <f>'Fritzøe - budsj 2020'!M17+'Fritzøe - budsjett service'!M17</f>
        <v>0</v>
      </c>
      <c r="N16" s="15">
        <f>'Fritzøe - budsj 2020'!N17+'Fritzøe - budsjett service'!N17</f>
        <v>100000</v>
      </c>
      <c r="O16" s="15">
        <f>'Fritzøe - budsj 2020'!O17+'Fritzøe - budsjett service'!O17</f>
        <v>100000</v>
      </c>
      <c r="P16" s="15">
        <f t="shared" si="2"/>
        <v>260000</v>
      </c>
      <c r="Q16" s="84"/>
    </row>
    <row r="17" spans="1:17" s="7" customFormat="1" x14ac:dyDescent="0.3">
      <c r="A17" s="22">
        <v>4506</v>
      </c>
      <c r="B17" s="43" t="s">
        <v>188</v>
      </c>
      <c r="C17" s="14">
        <f t="shared" si="1"/>
        <v>1.0266379350053081E-2</v>
      </c>
      <c r="D17" s="15">
        <f>'Fritzøe - budsj 2020'!D18+'Fritzøe - budsjett service'!D18</f>
        <v>20000</v>
      </c>
      <c r="E17" s="15">
        <f>'Fritzøe - budsj 2020'!E18+'Fritzøe - budsjett service'!E18</f>
        <v>20000</v>
      </c>
      <c r="F17" s="15">
        <f>'Fritzøe - budsj 2020'!F18+'Fritzøe - budsjett service'!F18</f>
        <v>20000</v>
      </c>
      <c r="G17" s="15">
        <f>'Fritzøe - budsj 2020'!G18+'Fritzøe - budsjett service'!G18</f>
        <v>20000</v>
      </c>
      <c r="H17" s="15">
        <f>'Fritzøe - budsj 2020'!H18+'Fritzøe - budsjett service'!H18</f>
        <v>200000</v>
      </c>
      <c r="I17" s="15">
        <f>'Fritzøe - budsj 2020'!I18+'Fritzøe - budsjett service'!I18</f>
        <v>60000</v>
      </c>
      <c r="J17" s="15">
        <f>'Fritzøe - budsj 2020'!J18+'Fritzøe - budsjett service'!J18</f>
        <v>20000</v>
      </c>
      <c r="K17" s="15">
        <f>'Fritzøe - budsj 2020'!K18+'Fritzøe - budsjett service'!K18</f>
        <v>20000</v>
      </c>
      <c r="L17" s="15">
        <f>'Fritzøe - budsj 2020'!L18+'Fritzøe - budsjett service'!L18</f>
        <v>20000</v>
      </c>
      <c r="M17" s="15">
        <f>'Fritzøe - budsj 2020'!M18+'Fritzøe - budsjett service'!M18</f>
        <v>20000</v>
      </c>
      <c r="N17" s="15">
        <f>'Fritzøe - budsj 2020'!N18+'Fritzøe - budsjett service'!N18</f>
        <v>80000</v>
      </c>
      <c r="O17" s="15">
        <f>'Fritzøe - budsj 2020'!O18+'Fritzøe - budsjett service'!O18</f>
        <v>80000</v>
      </c>
      <c r="P17" s="15">
        <f t="shared" si="2"/>
        <v>580000</v>
      </c>
      <c r="Q17" s="84"/>
    </row>
    <row r="18" spans="1:17" s="7" customFormat="1" x14ac:dyDescent="0.3">
      <c r="A18" s="22">
        <v>4507</v>
      </c>
      <c r="B18" s="43" t="s">
        <v>246</v>
      </c>
      <c r="C18" s="14">
        <f t="shared" si="1"/>
        <v>6.4762329758548148E-2</v>
      </c>
      <c r="D18" s="15">
        <f>'Fritzøe - budsj 2020'!D19+'Fritzøe - budsjett service'!D19</f>
        <v>171562.79069767444</v>
      </c>
      <c r="E18" s="15">
        <f>'Fritzøe - budsj 2020'!E19+'Fritzøe - budsjett service'!E19</f>
        <v>171562.79069767444</v>
      </c>
      <c r="F18" s="15">
        <f>'Fritzøe - budsj 2020'!F19+'Fritzøe - budsjett service'!F19</f>
        <v>321562.79069767444</v>
      </c>
      <c r="G18" s="15">
        <f>'Fritzøe - budsj 2020'!G19+'Fritzøe - budsjett service'!G19</f>
        <v>321562.79069767444</v>
      </c>
      <c r="H18" s="15">
        <f>'Fritzøe - budsj 2020'!H19+'Fritzøe - budsjett service'!H19</f>
        <v>521562.79069767444</v>
      </c>
      <c r="I18" s="15">
        <f>'Fritzøe - budsj 2020'!I19+'Fritzøe - budsjett service'!I19</f>
        <v>321562.79069767444</v>
      </c>
      <c r="J18" s="15">
        <f>'Fritzøe - budsj 2020'!J19+'Fritzøe - budsjett service'!J19</f>
        <v>221562.79069767444</v>
      </c>
      <c r="K18" s="15">
        <f>'Fritzøe - budsj 2020'!K19+'Fritzøe - budsjett service'!K19</f>
        <v>321562.79069767444</v>
      </c>
      <c r="L18" s="15">
        <f>'Fritzøe - budsj 2020'!L19+'Fritzøe - budsjett service'!L19</f>
        <v>321562.79069767444</v>
      </c>
      <c r="M18" s="15">
        <f>'Fritzøe - budsj 2020'!M19+'Fritzøe - budsjett service'!M19</f>
        <v>321562.79069767444</v>
      </c>
      <c r="N18" s="15">
        <f>'Fritzøe - budsj 2020'!N19+'Fritzøe - budsjett service'!N19</f>
        <v>321562.79069767444</v>
      </c>
      <c r="O18" s="15">
        <f>'Fritzøe - budsj 2020'!O19+'Fritzøe - budsjett service'!O19</f>
        <v>321562.79069767444</v>
      </c>
      <c r="P18" s="15">
        <f t="shared" si="2"/>
        <v>3658753.4883720926</v>
      </c>
      <c r="Q18" s="84"/>
    </row>
    <row r="19" spans="1:17" s="7" customFormat="1" x14ac:dyDescent="0.3">
      <c r="A19" s="22">
        <v>4508</v>
      </c>
      <c r="B19" s="43" t="s">
        <v>254</v>
      </c>
      <c r="C19" s="14">
        <f t="shared" si="1"/>
        <v>0</v>
      </c>
      <c r="D19" s="15">
        <f>'Fritzøe - budsj 2020'!D20+'Fritzøe - budsjett service'!D20</f>
        <v>0</v>
      </c>
      <c r="E19" s="15">
        <f>'Fritzøe - budsj 2020'!E20+'Fritzøe - budsjett service'!E20</f>
        <v>0</v>
      </c>
      <c r="F19" s="15">
        <f>'Fritzøe - budsj 2020'!F20+'Fritzøe - budsjett service'!F20</f>
        <v>0</v>
      </c>
      <c r="G19" s="15">
        <f>'Fritzøe - budsj 2020'!G20+'Fritzøe - budsjett service'!G20</f>
        <v>0</v>
      </c>
      <c r="H19" s="15">
        <f>'Fritzøe - budsj 2020'!H20+'Fritzøe - budsjett service'!H20</f>
        <v>0</v>
      </c>
      <c r="I19" s="15">
        <f>'Fritzøe - budsj 2020'!I20+'Fritzøe - budsjett service'!I20</f>
        <v>0</v>
      </c>
      <c r="J19" s="15">
        <f>'Fritzøe - budsj 2020'!J20+'Fritzøe - budsjett service'!J20</f>
        <v>0</v>
      </c>
      <c r="K19" s="15">
        <f>'Fritzøe - budsj 2020'!K20+'Fritzøe - budsjett service'!K20</f>
        <v>0</v>
      </c>
      <c r="L19" s="15">
        <f>'Fritzøe - budsj 2020'!L20+'Fritzøe - budsjett service'!L20</f>
        <v>0</v>
      </c>
      <c r="M19" s="15">
        <f>'Fritzøe - budsj 2020'!M20+'Fritzøe - budsjett service'!M20</f>
        <v>0</v>
      </c>
      <c r="N19" s="15">
        <f>'Fritzøe - budsj 2020'!N20+'Fritzøe - budsjett service'!N20</f>
        <v>0</v>
      </c>
      <c r="O19" s="15">
        <f>'Fritzøe - budsj 2020'!O20+'Fritzøe - budsjett service'!O20</f>
        <v>0</v>
      </c>
      <c r="P19" s="15">
        <f t="shared" si="2"/>
        <v>0</v>
      </c>
      <c r="Q19" s="84"/>
    </row>
    <row r="20" spans="1:17" s="7" customFormat="1" x14ac:dyDescent="0.3">
      <c r="A20" s="22">
        <v>4510</v>
      </c>
      <c r="B20" s="43" t="s">
        <v>255</v>
      </c>
      <c r="C20" s="14">
        <f t="shared" si="1"/>
        <v>0</v>
      </c>
      <c r="D20" s="15">
        <f>'Fritzøe - budsj 2020'!D21+'Fritzøe - budsjett service'!D21</f>
        <v>0</v>
      </c>
      <c r="E20" s="15">
        <f>'Fritzøe - budsj 2020'!E21+'Fritzøe - budsjett service'!E21</f>
        <v>0</v>
      </c>
      <c r="F20" s="15">
        <f>'Fritzøe - budsj 2020'!F21+'Fritzøe - budsjett service'!F21</f>
        <v>0</v>
      </c>
      <c r="G20" s="15">
        <f>'Fritzøe - budsj 2020'!G21+'Fritzøe - budsjett service'!G21</f>
        <v>0</v>
      </c>
      <c r="H20" s="15">
        <f>'Fritzøe - budsj 2020'!H21+'Fritzøe - budsjett service'!H21</f>
        <v>0</v>
      </c>
      <c r="I20" s="15">
        <f>'Fritzøe - budsj 2020'!I21+'Fritzøe - budsjett service'!I21</f>
        <v>0</v>
      </c>
      <c r="J20" s="15">
        <f>'Fritzøe - budsj 2020'!J21+'Fritzøe - budsjett service'!J21</f>
        <v>0</v>
      </c>
      <c r="K20" s="15">
        <f>'Fritzøe - budsj 2020'!K21+'Fritzøe - budsjett service'!K21</f>
        <v>0</v>
      </c>
      <c r="L20" s="15">
        <f>'Fritzøe - budsj 2020'!L21+'Fritzøe - budsjett service'!L21</f>
        <v>0</v>
      </c>
      <c r="M20" s="15">
        <f>'Fritzøe - budsj 2020'!M21+'Fritzøe - budsjett service'!M21</f>
        <v>0</v>
      </c>
      <c r="N20" s="15">
        <f>'Fritzøe - budsj 2020'!N21+'Fritzøe - budsjett service'!N21</f>
        <v>0</v>
      </c>
      <c r="O20" s="15">
        <f>'Fritzøe - budsj 2020'!O21+'Fritzøe - budsjett service'!O21</f>
        <v>0</v>
      </c>
      <c r="P20" s="15">
        <f t="shared" si="2"/>
        <v>0</v>
      </c>
      <c r="Q20" s="84"/>
    </row>
    <row r="21" spans="1:17" s="7" customFormat="1" x14ac:dyDescent="0.3">
      <c r="A21" s="22">
        <v>4511</v>
      </c>
      <c r="B21" s="43" t="s">
        <v>256</v>
      </c>
      <c r="C21" s="14">
        <f t="shared" si="1"/>
        <v>4.9561831345083839E-3</v>
      </c>
      <c r="D21" s="15">
        <f>'Fritzøe - budsj 2020'!D22+'Fritzøe - budsjett service'!D22</f>
        <v>0</v>
      </c>
      <c r="E21" s="15">
        <f>'Fritzøe - budsj 2020'!E22+'Fritzøe - budsjett service'!E22</f>
        <v>0</v>
      </c>
      <c r="F21" s="15">
        <f>'Fritzøe - budsj 2020'!F22+'Fritzøe - budsjett service'!F22</f>
        <v>0</v>
      </c>
      <c r="G21" s="15">
        <f>'Fritzøe - budsj 2020'!G22+'Fritzøe - budsjett service'!G22</f>
        <v>0</v>
      </c>
      <c r="H21" s="15">
        <f>'Fritzøe - budsj 2020'!H22+'Fritzøe - budsjett service'!H22</f>
        <v>100000</v>
      </c>
      <c r="I21" s="15">
        <f>'Fritzøe - budsj 2020'!I22+'Fritzøe - budsjett service'!I22</f>
        <v>0</v>
      </c>
      <c r="J21" s="15">
        <f>'Fritzøe - budsj 2020'!J22+'Fritzøe - budsjett service'!J22</f>
        <v>0</v>
      </c>
      <c r="K21" s="15">
        <f>'Fritzøe - budsj 2020'!K22+'Fritzøe - budsjett service'!K22</f>
        <v>0</v>
      </c>
      <c r="L21" s="15">
        <f>'Fritzøe - budsj 2020'!L22+'Fritzøe - budsjett service'!L22</f>
        <v>60000</v>
      </c>
      <c r="M21" s="15">
        <f>'Fritzøe - budsj 2020'!M22+'Fritzøe - budsjett service'!M22</f>
        <v>60000</v>
      </c>
      <c r="N21" s="15">
        <f>'Fritzøe - budsj 2020'!N22+'Fritzøe - budsjett service'!N22</f>
        <v>60000</v>
      </c>
      <c r="O21" s="15">
        <f>'Fritzøe - budsj 2020'!O22+'Fritzøe - budsjett service'!O22</f>
        <v>0</v>
      </c>
      <c r="P21" s="15">
        <f t="shared" si="2"/>
        <v>280000</v>
      </c>
      <c r="Q21" s="84"/>
    </row>
    <row r="22" spans="1:17" s="7" customFormat="1" x14ac:dyDescent="0.3">
      <c r="A22" s="22">
        <v>4512</v>
      </c>
      <c r="B22" s="43" t="s">
        <v>257</v>
      </c>
      <c r="C22" s="14">
        <f t="shared" si="1"/>
        <v>4.7791765939902272E-3</v>
      </c>
      <c r="D22" s="15">
        <f>'Fritzøe - budsj 2020'!D23+'Fritzøe - budsjett service'!D23</f>
        <v>10000</v>
      </c>
      <c r="E22" s="15">
        <f>'Fritzøe - budsj 2020'!E23+'Fritzøe - budsjett service'!E23</f>
        <v>10000</v>
      </c>
      <c r="F22" s="15">
        <f>'Fritzøe - budsj 2020'!F23+'Fritzøe - budsjett service'!F23</f>
        <v>10000</v>
      </c>
      <c r="G22" s="15">
        <f>'Fritzøe - budsj 2020'!G23+'Fritzøe - budsjett service'!G23</f>
        <v>10000</v>
      </c>
      <c r="H22" s="15">
        <f>'Fritzøe - budsj 2020'!H23+'Fritzøe - budsjett service'!H23</f>
        <v>10000</v>
      </c>
      <c r="I22" s="15">
        <f>'Fritzøe - budsj 2020'!I23+'Fritzøe - budsjett service'!I23</f>
        <v>10000</v>
      </c>
      <c r="J22" s="15">
        <f>'Fritzøe - budsj 2020'!J23+'Fritzøe - budsjett service'!J23</f>
        <v>10000</v>
      </c>
      <c r="K22" s="15">
        <f>'Fritzøe - budsj 2020'!K23+'Fritzøe - budsjett service'!K23</f>
        <v>40000</v>
      </c>
      <c r="L22" s="15">
        <f>'Fritzøe - budsj 2020'!L23+'Fritzøe - budsjett service'!L23</f>
        <v>40000</v>
      </c>
      <c r="M22" s="15">
        <f>'Fritzøe - budsj 2020'!M23+'Fritzøe - budsjett service'!M23</f>
        <v>40000</v>
      </c>
      <c r="N22" s="15">
        <f>'Fritzøe - budsj 2020'!N23+'Fritzøe - budsjett service'!N23</f>
        <v>40000</v>
      </c>
      <c r="O22" s="15">
        <f>'Fritzøe - budsj 2020'!O23+'Fritzøe - budsjett service'!O23</f>
        <v>40000</v>
      </c>
      <c r="P22" s="15">
        <f t="shared" si="2"/>
        <v>270000</v>
      </c>
      <c r="Q22" s="84"/>
    </row>
    <row r="23" spans="1:17" s="7" customFormat="1" x14ac:dyDescent="0.3">
      <c r="A23" s="22">
        <v>4513</v>
      </c>
      <c r="B23" s="43" t="s">
        <v>258</v>
      </c>
      <c r="C23" s="14">
        <f t="shared" si="1"/>
        <v>3.1861177293268186E-3</v>
      </c>
      <c r="D23" s="15">
        <f>'Fritzøe - budsj 2020'!D24+'Fritzøe - budsjett service'!D24</f>
        <v>15000</v>
      </c>
      <c r="E23" s="15">
        <f>'Fritzøe - budsj 2020'!E24+'Fritzøe - budsjett service'!E24</f>
        <v>15000</v>
      </c>
      <c r="F23" s="15">
        <f>'Fritzøe - budsj 2020'!F24+'Fritzøe - budsjett service'!F24</f>
        <v>15000</v>
      </c>
      <c r="G23" s="15">
        <f>'Fritzøe - budsj 2020'!G24+'Fritzøe - budsjett service'!G24</f>
        <v>15000</v>
      </c>
      <c r="H23" s="15">
        <f>'Fritzøe - budsj 2020'!H24+'Fritzøe - budsjett service'!H24</f>
        <v>15000</v>
      </c>
      <c r="I23" s="15">
        <f>'Fritzøe - budsj 2020'!I24+'Fritzøe - budsjett service'!I24</f>
        <v>15000</v>
      </c>
      <c r="J23" s="15">
        <f>'Fritzøe - budsj 2020'!J24+'Fritzøe - budsjett service'!J24</f>
        <v>15000</v>
      </c>
      <c r="K23" s="15">
        <f>'Fritzøe - budsj 2020'!K24+'Fritzøe - budsjett service'!K24</f>
        <v>15000</v>
      </c>
      <c r="L23" s="15">
        <f>'Fritzøe - budsj 2020'!L24+'Fritzøe - budsjett service'!L24</f>
        <v>15000</v>
      </c>
      <c r="M23" s="15">
        <f>'Fritzøe - budsj 2020'!M24+'Fritzøe - budsjett service'!M24</f>
        <v>15000</v>
      </c>
      <c r="N23" s="15">
        <f>'Fritzøe - budsj 2020'!N24+'Fritzøe - budsjett service'!N24</f>
        <v>15000</v>
      </c>
      <c r="O23" s="15">
        <f>'Fritzøe - budsj 2020'!O24+'Fritzøe - budsjett service'!O24</f>
        <v>15000</v>
      </c>
      <c r="P23" s="15">
        <f t="shared" si="2"/>
        <v>180000</v>
      </c>
      <c r="Q23" s="84"/>
    </row>
    <row r="24" spans="1:17" s="7" customFormat="1" x14ac:dyDescent="0.3">
      <c r="A24" s="22">
        <v>4514</v>
      </c>
      <c r="B24" s="43" t="s">
        <v>276</v>
      </c>
      <c r="C24" s="14">
        <f t="shared" si="1"/>
        <v>7.9652943233170462E-3</v>
      </c>
      <c r="D24" s="15">
        <f>'Fritzøe - budsj 2020'!D25+'Fritzøe - budsjett service'!D25</f>
        <v>0</v>
      </c>
      <c r="E24" s="15">
        <f>'Fritzøe - budsj 2020'!E25+'Fritzøe - budsjett service'!E25</f>
        <v>0</v>
      </c>
      <c r="F24" s="15">
        <f>'Fritzøe - budsj 2020'!F25+'Fritzøe - budsjett service'!F25</f>
        <v>0</v>
      </c>
      <c r="G24" s="15">
        <f>'Fritzøe - budsj 2020'!G25+'Fritzøe - budsjett service'!G25</f>
        <v>120000</v>
      </c>
      <c r="H24" s="15">
        <f>'Fritzøe - budsj 2020'!H25+'Fritzøe - budsjett service'!H25</f>
        <v>120000</v>
      </c>
      <c r="I24" s="15">
        <f>'Fritzøe - budsj 2020'!I25+'Fritzøe - budsjett service'!I25</f>
        <v>0</v>
      </c>
      <c r="J24" s="15">
        <f>'Fritzøe - budsj 2020'!J25+'Fritzøe - budsjett service'!J25</f>
        <v>0</v>
      </c>
      <c r="K24" s="15">
        <f>'Fritzøe - budsj 2020'!K25+'Fritzøe - budsjett service'!K25</f>
        <v>0</v>
      </c>
      <c r="L24" s="15">
        <f>'Fritzøe - budsj 2020'!L25+'Fritzøe - budsjett service'!L25</f>
        <v>0</v>
      </c>
      <c r="M24" s="15">
        <f>'Fritzøe - budsj 2020'!M25+'Fritzøe - budsjett service'!M25</f>
        <v>70000</v>
      </c>
      <c r="N24" s="15">
        <f>'Fritzøe - budsj 2020'!N25+'Fritzøe - budsjett service'!N25</f>
        <v>70000</v>
      </c>
      <c r="O24" s="15">
        <f>'Fritzøe - budsj 2020'!O25+'Fritzøe - budsjett service'!O25</f>
        <v>70000</v>
      </c>
      <c r="P24" s="15">
        <f t="shared" si="2"/>
        <v>450000</v>
      </c>
      <c r="Q24" s="84"/>
    </row>
    <row r="25" spans="1:17" s="7" customFormat="1" x14ac:dyDescent="0.3">
      <c r="A25" s="22">
        <v>4515</v>
      </c>
      <c r="B25" s="43" t="s">
        <v>247</v>
      </c>
      <c r="C25" s="14">
        <f t="shared" si="1"/>
        <v>6.6860197804812796E-2</v>
      </c>
      <c r="D25" s="15">
        <f>'Fritzøe - budsj 2020'!D26+'Fritzøe - budsjett service'!D26</f>
        <v>277272.72727272729</v>
      </c>
      <c r="E25" s="15">
        <f>'Fritzøe - budsj 2020'!E26+'Fritzøe - budsjett service'!E26</f>
        <v>277272.72727272729</v>
      </c>
      <c r="F25" s="15">
        <f>'Fritzøe - budsj 2020'!F26+'Fritzøe - budsjett service'!F26</f>
        <v>277272.72727272729</v>
      </c>
      <c r="G25" s="15">
        <f>'Fritzøe - budsj 2020'!G26+'Fritzøe - budsjett service'!G26</f>
        <v>327272.72727272729</v>
      </c>
      <c r="H25" s="15">
        <f>'Fritzøe - budsj 2020'!H26+'Fritzøe - budsjett service'!H26</f>
        <v>327272.72727272729</v>
      </c>
      <c r="I25" s="15">
        <f>'Fritzøe - budsj 2020'!I26+'Fritzøe - budsjett service'!I26</f>
        <v>327272.72727272729</v>
      </c>
      <c r="J25" s="15">
        <f>'Fritzøe - budsj 2020'!J26+'Fritzøe - budsjett service'!J26</f>
        <v>327272.72727272729</v>
      </c>
      <c r="K25" s="15">
        <f>'Fritzøe - budsj 2020'!K26+'Fritzøe - budsjett service'!K26</f>
        <v>327272.72727272729</v>
      </c>
      <c r="L25" s="15">
        <f>'Fritzøe - budsj 2020'!L26+'Fritzøe - budsjett service'!L26</f>
        <v>327272.72727272729</v>
      </c>
      <c r="M25" s="15">
        <f>'Fritzøe - budsj 2020'!M26+'Fritzøe - budsjett service'!M26</f>
        <v>327272.72727272729</v>
      </c>
      <c r="N25" s="15">
        <f>'Fritzøe - budsj 2020'!N26+'Fritzøe - budsjett service'!N26</f>
        <v>327272.72727272729</v>
      </c>
      <c r="O25" s="15">
        <f>'Fritzøe - budsj 2020'!O26+'Fritzøe - budsjett service'!O26</f>
        <v>327272.72727272729</v>
      </c>
      <c r="P25" s="15">
        <f t="shared" si="2"/>
        <v>3777272.7272727285</v>
      </c>
      <c r="Q25" s="84"/>
    </row>
    <row r="26" spans="1:17" s="7" customFormat="1" x14ac:dyDescent="0.3">
      <c r="A26" s="22">
        <v>4505</v>
      </c>
      <c r="B26" s="43" t="s">
        <v>71</v>
      </c>
      <c r="C26" s="14">
        <f t="shared" si="1"/>
        <v>1.8776695361910976E-2</v>
      </c>
      <c r="D26" s="15">
        <f>'Fritzøe - budsj 2020'!D27+'Fritzøe - budsjett service'!D27</f>
        <v>90934.247999999992</v>
      </c>
      <c r="E26" s="15">
        <f>'Fritzøe - budsj 2020'!E27+'Fritzøe - budsjett service'!E27</f>
        <v>89485.68</v>
      </c>
      <c r="F26" s="15">
        <f>'Fritzøe - budsj 2020'!F27+'Fritzøe - budsjett service'!F27</f>
        <v>89485.68</v>
      </c>
      <c r="G26" s="15">
        <f>'Fritzøe - budsj 2020'!G27+'Fritzøe - budsjett service'!G27</f>
        <v>87312.827999999994</v>
      </c>
      <c r="H26" s="15">
        <f>'Fritzøe - budsj 2020'!H27+'Fritzøe - budsjett service'!H27</f>
        <v>89485.68</v>
      </c>
      <c r="I26" s="15">
        <f>'Fritzøe - budsj 2020'!I27+'Fritzøe - budsjett service'!I27</f>
        <v>88037.111999999994</v>
      </c>
      <c r="J26" s="15">
        <f>'Fritzøe - budsj 2020'!J27+'Fritzøe - budsjett service'!J27</f>
        <v>82242.84</v>
      </c>
      <c r="K26" s="15">
        <f>'Fritzøe - budsj 2020'!K27+'Fritzøe - budsjett service'!K27</f>
        <v>85864.26</v>
      </c>
      <c r="L26" s="15">
        <f>'Fritzøe - budsj 2020'!L27+'Fritzøe - budsjett service'!L27</f>
        <v>90209.964000000007</v>
      </c>
      <c r="M26" s="15">
        <f>'Fritzøe - budsj 2020'!M27+'Fritzøe - budsjett service'!M27</f>
        <v>91658.532000000007</v>
      </c>
      <c r="N26" s="15">
        <f>'Fritzøe - budsj 2020'!N27+'Fritzøe - budsjett service'!N27</f>
        <v>90209.964000000007</v>
      </c>
      <c r="O26" s="15">
        <f>'Fritzøe - budsj 2020'!O27+'Fritzøe - budsjett service'!O27</f>
        <v>85864.26</v>
      </c>
      <c r="P26" s="15">
        <f t="shared" si="2"/>
        <v>1060791.048</v>
      </c>
      <c r="Q26" s="84"/>
    </row>
    <row r="27" spans="1:17" s="7" customFormat="1" x14ac:dyDescent="0.3">
      <c r="A27" s="22">
        <v>4509</v>
      </c>
      <c r="B27" s="43" t="s">
        <v>189</v>
      </c>
      <c r="C27" s="14">
        <f t="shared" si="1"/>
        <v>4.5995521975404239E-3</v>
      </c>
      <c r="D27" s="15">
        <f>'Fritzøe - budsj 2020'!D28+'Fritzøe - budsjett service'!D28</f>
        <v>22345.703999999998</v>
      </c>
      <c r="E27" s="15">
        <f>'Fritzøe - budsj 2020'!E28+'Fritzøe - budsjett service'!E28</f>
        <v>21950.639999999999</v>
      </c>
      <c r="F27" s="15">
        <f>'Fritzøe - budsj 2020'!F28+'Fritzøe - budsjett service'!F28</f>
        <v>21950.639999999999</v>
      </c>
      <c r="G27" s="15">
        <f>'Fritzøe - budsj 2020'!G28+'Fritzøe - budsjett service'!G28</f>
        <v>21358.044000000002</v>
      </c>
      <c r="H27" s="15">
        <f>'Fritzøe - budsj 2020'!H28+'Fritzøe - budsjett service'!H28</f>
        <v>21950.639999999999</v>
      </c>
      <c r="I27" s="15">
        <f>'Fritzøe - budsj 2020'!I28+'Fritzøe - budsjett service'!I28</f>
        <v>21555.576000000001</v>
      </c>
      <c r="J27" s="15">
        <f>'Fritzøe - budsj 2020'!J28+'Fritzøe - budsjett service'!J28</f>
        <v>19975.32</v>
      </c>
      <c r="K27" s="15">
        <f>'Fritzøe - budsj 2020'!K28+'Fritzøe - budsjett service'!K28</f>
        <v>20962.98</v>
      </c>
      <c r="L27" s="15">
        <f>'Fritzøe - budsj 2020'!L28+'Fritzøe - budsjett service'!L28</f>
        <v>22148.171999999999</v>
      </c>
      <c r="M27" s="15">
        <f>'Fritzøe - budsj 2020'!M28+'Fritzøe - budsjett service'!M28</f>
        <v>22543.236000000001</v>
      </c>
      <c r="N27" s="15">
        <f>'Fritzøe - budsj 2020'!N28+'Fritzøe - budsjett service'!N28</f>
        <v>22148.171999999999</v>
      </c>
      <c r="O27" s="15">
        <f>'Fritzøe - budsj 2020'!O28+'Fritzøe - budsjett service'!O28</f>
        <v>20962.98</v>
      </c>
      <c r="P27" s="15">
        <f t="shared" si="2"/>
        <v>259852.10400000002</v>
      </c>
      <c r="Q27" s="84"/>
    </row>
    <row r="28" spans="1:17" x14ac:dyDescent="0.3">
      <c r="B28" s="20" t="s">
        <v>119</v>
      </c>
      <c r="C28" s="56">
        <f t="shared" si="1"/>
        <v>0.47584896074701083</v>
      </c>
      <c r="D28" s="17">
        <f t="shared" ref="D28:P28" si="3">SUM(D10:D27)</f>
        <v>1886298.385224639</v>
      </c>
      <c r="E28" s="17">
        <f t="shared" si="3"/>
        <v>1826549.5176699394</v>
      </c>
      <c r="F28" s="17">
        <f t="shared" si="3"/>
        <v>2221100.7019919739</v>
      </c>
      <c r="G28" s="17">
        <f t="shared" si="3"/>
        <v>2100622.4042616193</v>
      </c>
      <c r="H28" s="17">
        <f t="shared" si="3"/>
        <v>2823609.0981784146</v>
      </c>
      <c r="I28" s="17">
        <f t="shared" si="3"/>
        <v>2411275.6143101556</v>
      </c>
      <c r="J28" s="17">
        <f t="shared" si="3"/>
        <v>1491657.1883710183</v>
      </c>
      <c r="K28" s="17">
        <f t="shared" si="3"/>
        <v>2107906.0748425131</v>
      </c>
      <c r="L28" s="17">
        <f t="shared" si="3"/>
        <v>2626920.6368286451</v>
      </c>
      <c r="M28" s="17">
        <f t="shared" si="3"/>
        <v>2687887.5005697859</v>
      </c>
      <c r="N28" s="17">
        <f t="shared" si="3"/>
        <v>2464024.924116781</v>
      </c>
      <c r="O28" s="17">
        <f t="shared" si="3"/>
        <v>2235276.6422153939</v>
      </c>
      <c r="P28" s="17">
        <f t="shared" si="3"/>
        <v>26883128.688580874</v>
      </c>
      <c r="Q28" s="108"/>
    </row>
    <row r="29" spans="1:17" x14ac:dyDescent="0.3">
      <c r="A29" s="22"/>
      <c r="B29" s="21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7" x14ac:dyDescent="0.3">
      <c r="A30" s="23" t="s">
        <v>6</v>
      </c>
      <c r="B30" s="21"/>
      <c r="C30" s="18">
        <f>P30/$P$7</f>
        <v>0.52415103925298911</v>
      </c>
      <c r="D30" s="16">
        <f t="shared" ref="D30:O30" si="4">D7-D28</f>
        <v>2451802.216775361</v>
      </c>
      <c r="E30" s="16">
        <f t="shared" si="4"/>
        <v>2333265.7598300604</v>
      </c>
      <c r="F30" s="16">
        <f t="shared" si="4"/>
        <v>2916958.4230080261</v>
      </c>
      <c r="G30" s="16">
        <f t="shared" si="4"/>
        <v>2157074.5732383807</v>
      </c>
      <c r="H30" s="16">
        <f t="shared" si="4"/>
        <v>2414891.5843215855</v>
      </c>
      <c r="I30" s="16">
        <f t="shared" si="4"/>
        <v>2919162.9014398446</v>
      </c>
      <c r="J30" s="16">
        <f t="shared" si="4"/>
        <v>1417350.236628982</v>
      </c>
      <c r="K30" s="16">
        <f t="shared" si="4"/>
        <v>2477082.8731574877</v>
      </c>
      <c r="L30" s="16">
        <f t="shared" si="4"/>
        <v>3423279.9166713562</v>
      </c>
      <c r="M30" s="16">
        <f t="shared" si="4"/>
        <v>3145594.2229302153</v>
      </c>
      <c r="N30" s="16">
        <f t="shared" si="4"/>
        <v>2113346.0683832187</v>
      </c>
      <c r="O30" s="16">
        <f t="shared" si="4"/>
        <v>1842150.0652846065</v>
      </c>
      <c r="P30" s="16">
        <f>SUM(D30:O30)</f>
        <v>29611958.841669124</v>
      </c>
      <c r="Q30" s="107"/>
    </row>
    <row r="31" spans="1:17" x14ac:dyDescent="0.3">
      <c r="A31" s="22"/>
      <c r="B31" s="21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7" x14ac:dyDescent="0.3">
      <c r="A32" s="23" t="s">
        <v>207</v>
      </c>
      <c r="B32" s="21"/>
      <c r="C32" s="14"/>
      <c r="D32" s="15"/>
      <c r="E32" s="15"/>
      <c r="F32" s="15"/>
      <c r="G32" s="58"/>
      <c r="H32" s="58"/>
      <c r="I32" s="58"/>
      <c r="J32" s="58"/>
      <c r="K32" s="58"/>
      <c r="L32" s="58"/>
      <c r="M32" s="58"/>
      <c r="N32" s="58"/>
      <c r="O32" s="58"/>
      <c r="P32" s="15"/>
    </row>
    <row r="33" spans="1:17" x14ac:dyDescent="0.3">
      <c r="A33" s="22">
        <v>5000</v>
      </c>
      <c r="B33" s="43" t="s">
        <v>131</v>
      </c>
      <c r="C33" s="14">
        <f t="shared" ref="C33:C45" si="5">P33/$P$7</f>
        <v>0.31007557327396551</v>
      </c>
      <c r="D33" s="15">
        <f>'Fritzøe - budsj 2020'!D34+'Fritzøe - budsjett service'!D34</f>
        <v>1533605.7375042737</v>
      </c>
      <c r="E33" s="15">
        <f>'Fritzøe - budsj 2020'!E34+'Fritzøe - budsjett service'!E34</f>
        <v>1386276.2769230769</v>
      </c>
      <c r="F33" s="15">
        <f>'Fritzøe - budsj 2020'!F34+'Fritzøe - budsjett service'!F34</f>
        <v>1555577.0076923077</v>
      </c>
      <c r="G33" s="15">
        <f>'Fritzøe - budsj 2020'!G34+'Fritzøe - budsjett service'!G34</f>
        <v>1470134.1725307691</v>
      </c>
      <c r="H33" s="15">
        <f>'Fritzøe - budsj 2020'!H34+'Fritzøe - budsjett service'!H34</f>
        <v>1670913.4318384619</v>
      </c>
      <c r="I33" s="15">
        <f>'Fritzøe - budsj 2020'!I34+'Fritzøe - budsjett service'!I34</f>
        <v>1568974.6301769232</v>
      </c>
      <c r="J33" s="15">
        <f>'Fritzøe - budsj 2020'!J34+'Fritzøe - budsjett service'!J34</f>
        <v>814133.69769230788</v>
      </c>
      <c r="K33" s="15">
        <f>'Fritzøe - budsj 2020'!K34+'Fritzøe - budsjett service'!K34</f>
        <v>1258787.4253846151</v>
      </c>
      <c r="L33" s="15">
        <f>'Fritzøe - budsj 2020'!L34+'Fritzøe - budsjett service'!L34</f>
        <v>1735402.044</v>
      </c>
      <c r="M33" s="15">
        <f>'Fritzøe - budsj 2020'!M34+'Fritzøe - budsjett service'!M34</f>
        <v>1695190.8258461538</v>
      </c>
      <c r="N33" s="15">
        <f>'Fritzøe - budsj 2020'!N34+'Fritzøe - budsjett service'!N34</f>
        <v>1468938.8651538463</v>
      </c>
      <c r="O33" s="15">
        <f>'Fritzøe - budsj 2020'!O34+'Fritzøe - budsjett service'!O34</f>
        <v>1359812.5383623934</v>
      </c>
      <c r="P33" s="15">
        <f t="shared" ref="P33:P39" si="6">SUM(D33:O33)</f>
        <v>17517746.653105132</v>
      </c>
    </row>
    <row r="34" spans="1:17" x14ac:dyDescent="0.3">
      <c r="A34" s="22">
        <v>5011</v>
      </c>
      <c r="B34" s="43" t="s">
        <v>125</v>
      </c>
      <c r="C34" s="14">
        <f t="shared" si="5"/>
        <v>5.0977883669229094E-3</v>
      </c>
      <c r="D34" s="15">
        <f>'Fritzøe - budsj 2020'!D36+'Fritzøe - budsjett service'!D35</f>
        <v>24000</v>
      </c>
      <c r="E34" s="15">
        <f>'Fritzøe - budsj 2020'!E36+'Fritzøe - budsjett service'!E35</f>
        <v>24000</v>
      </c>
      <c r="F34" s="15">
        <f>'Fritzøe - budsj 2020'!F36+'Fritzøe - budsjett service'!F35</f>
        <v>24000</v>
      </c>
      <c r="G34" s="15">
        <f>'Fritzøe - budsj 2020'!G36+'Fritzøe - budsjett service'!G35</f>
        <v>24000</v>
      </c>
      <c r="H34" s="15">
        <f>'Fritzøe - budsj 2020'!H36+'Fritzøe - budsjett service'!H35</f>
        <v>24000</v>
      </c>
      <c r="I34" s="15">
        <f>'Fritzøe - budsj 2020'!I36+'Fritzøe - budsjett service'!I35</f>
        <v>24000</v>
      </c>
      <c r="J34" s="15">
        <f>'Fritzøe - budsj 2020'!J36+'Fritzøe - budsjett service'!J35</f>
        <v>24000</v>
      </c>
      <c r="K34" s="15">
        <f>'Fritzøe - budsj 2020'!K36+'Fritzøe - budsjett service'!K35</f>
        <v>24000</v>
      </c>
      <c r="L34" s="15">
        <f>'Fritzøe - budsj 2020'!L36+'Fritzøe - budsjett service'!L35</f>
        <v>24000</v>
      </c>
      <c r="M34" s="15">
        <f>'Fritzøe - budsj 2020'!M36+'Fritzøe - budsjett service'!M35</f>
        <v>24000</v>
      </c>
      <c r="N34" s="15">
        <f>'Fritzøe - budsj 2020'!N36+'Fritzøe - budsjett service'!N35</f>
        <v>24000</v>
      </c>
      <c r="O34" s="15">
        <f>'Fritzøe - budsj 2020'!O36+'Fritzøe - budsjett service'!O35</f>
        <v>24000</v>
      </c>
      <c r="P34" s="15">
        <f t="shared" si="6"/>
        <v>288000</v>
      </c>
    </row>
    <row r="35" spans="1:17" x14ac:dyDescent="0.3">
      <c r="A35" s="22">
        <v>5092</v>
      </c>
      <c r="B35" s="43" t="s">
        <v>132</v>
      </c>
      <c r="C35" s="14">
        <f t="shared" si="5"/>
        <v>3.8008089300953438E-2</v>
      </c>
      <c r="D35" s="15">
        <f>'Fritzøe - budsj 2020'!D37+'Fritzøe - budsjett service'!D36</f>
        <v>187819.03065128208</v>
      </c>
      <c r="E35" s="15">
        <f>'Fritzøe - budsj 2020'!E37+'Fritzøe - budsjett service'!E36</f>
        <v>170060.08929230768</v>
      </c>
      <c r="F35" s="15">
        <f>'Fritzøe - budsj 2020'!F37+'Fritzøe - budsjett service'!F36</f>
        <v>190498.07351076923</v>
      </c>
      <c r="G35" s="15">
        <f>'Fritzøe - budsj 2020'!G37+'Fritzøe - budsjett service'!G36</f>
        <v>180176.07927046152</v>
      </c>
      <c r="H35" s="15">
        <f>'Fritzøe - budsj 2020'!H37+'Fritzøe - budsjett service'!H36</f>
        <v>204387.83208969238</v>
      </c>
      <c r="I35" s="15">
        <f>'Fritzøe - budsj 2020'!I37+'Fritzøe - budsjett service'!I36</f>
        <v>192118.90951107696</v>
      </c>
      <c r="J35" s="15">
        <f>'Fritzøe - budsj 2020'!J37+'Fritzøe - budsjett service'!J36</f>
        <v>101074.48877076924</v>
      </c>
      <c r="K35" s="15">
        <f>'Fritzøe - budsj 2020'!K37+'Fritzøe - budsjett service'!K36</f>
        <v>154709.22117046153</v>
      </c>
      <c r="L35" s="15">
        <f>'Fritzøe - budsj 2020'!L37+'Fritzøe - budsjett service'!L36</f>
        <v>212193.49920092308</v>
      </c>
      <c r="M35" s="15">
        <f>'Fritzøe - budsj 2020'!M37+'Fritzøe - budsjett service'!M36</f>
        <v>207321.65470246156</v>
      </c>
      <c r="N35" s="15">
        <f>'Fritzøe - budsj 2020'!N37+'Fritzøe - budsjett service'!N36</f>
        <v>180026.0642506154</v>
      </c>
      <c r="O35" s="15">
        <f>'Fritzøe - budsj 2020'!O37+'Fritzøe - budsjett service'!O36</f>
        <v>166885.38949410259</v>
      </c>
      <c r="P35" s="15">
        <f t="shared" si="6"/>
        <v>2147270.3319149232</v>
      </c>
    </row>
    <row r="36" spans="1:17" x14ac:dyDescent="0.3">
      <c r="A36" s="22">
        <v>5110</v>
      </c>
      <c r="B36" s="21" t="s">
        <v>46</v>
      </c>
      <c r="C36" s="14">
        <f t="shared" si="5"/>
        <v>0</v>
      </c>
      <c r="D36" s="15">
        <f>'Fritzøe - budsj 2020'!D38+'Fritzøe - budsjett service'!D37</f>
        <v>0</v>
      </c>
      <c r="E36" s="15">
        <f>'Fritzøe - budsj 2020'!E38+'Fritzøe - budsjett service'!E37</f>
        <v>0</v>
      </c>
      <c r="F36" s="15">
        <f>'Fritzøe - budsj 2020'!F38+'Fritzøe - budsjett service'!F37</f>
        <v>0</v>
      </c>
      <c r="G36" s="15">
        <f>'Fritzøe - budsj 2020'!G38+'Fritzøe - budsjett service'!G37</f>
        <v>0</v>
      </c>
      <c r="H36" s="15">
        <f>'Fritzøe - budsj 2020'!H38+'Fritzøe - budsjett service'!H37</f>
        <v>0</v>
      </c>
      <c r="I36" s="15">
        <f>'Fritzøe - budsj 2020'!I38+'Fritzøe - budsjett service'!I37</f>
        <v>0</v>
      </c>
      <c r="J36" s="15">
        <f>'Fritzøe - budsj 2020'!J38+'Fritzøe - budsjett service'!J37</f>
        <v>0</v>
      </c>
      <c r="K36" s="15">
        <f>'Fritzøe - budsj 2020'!K38+'Fritzøe - budsjett service'!K37</f>
        <v>0</v>
      </c>
      <c r="L36" s="15">
        <f>'Fritzøe - budsj 2020'!L38+'Fritzøe - budsjett service'!L37</f>
        <v>0</v>
      </c>
      <c r="M36" s="15">
        <f>'Fritzøe - budsj 2020'!M38+'Fritzøe - budsjett service'!M37</f>
        <v>0</v>
      </c>
      <c r="N36" s="15">
        <f>'Fritzøe - budsj 2020'!N38+'Fritzøe - budsjett service'!N37</f>
        <v>0</v>
      </c>
      <c r="O36" s="15">
        <f>'Fritzøe - budsj 2020'!O38+'Fritzøe - budsjett service'!O37</f>
        <v>0</v>
      </c>
      <c r="P36" s="15">
        <f t="shared" si="6"/>
        <v>0</v>
      </c>
    </row>
    <row r="37" spans="1:17" x14ac:dyDescent="0.3">
      <c r="A37" s="22">
        <v>5330</v>
      </c>
      <c r="B37" s="21" t="s">
        <v>20</v>
      </c>
      <c r="C37" s="14">
        <f t="shared" si="5"/>
        <v>0</v>
      </c>
      <c r="D37" s="15">
        <f>'Fritzøe - budsj 2020'!D40+'Fritzøe - budsjett service'!D38</f>
        <v>0</v>
      </c>
      <c r="E37" s="15">
        <f>'Fritzøe - budsj 2020'!E40+'Fritzøe - budsjett service'!E38</f>
        <v>0</v>
      </c>
      <c r="F37" s="15">
        <f>'Fritzøe - budsj 2020'!F40+'Fritzøe - budsjett service'!F38</f>
        <v>0</v>
      </c>
      <c r="G37" s="15">
        <f>'Fritzøe - budsj 2020'!G40+'Fritzøe - budsjett service'!G38</f>
        <v>0</v>
      </c>
      <c r="H37" s="15">
        <f>'Fritzøe - budsj 2020'!H40+'Fritzøe - budsjett service'!H38</f>
        <v>0</v>
      </c>
      <c r="I37" s="15">
        <f>'Fritzøe - budsj 2020'!I40+'Fritzøe - budsjett service'!I38</f>
        <v>0</v>
      </c>
      <c r="J37" s="15">
        <f>'Fritzøe - budsj 2020'!J40+'Fritzøe - budsjett service'!J38</f>
        <v>0</v>
      </c>
      <c r="K37" s="15">
        <f>'Fritzøe - budsj 2020'!K40+'Fritzøe - budsjett service'!K38</f>
        <v>0</v>
      </c>
      <c r="L37" s="15">
        <f>'Fritzøe - budsj 2020'!L40+'Fritzøe - budsjett service'!L38</f>
        <v>0</v>
      </c>
      <c r="M37" s="15">
        <f>'Fritzøe - budsj 2020'!M40+'Fritzøe - budsjett service'!M38</f>
        <v>0</v>
      </c>
      <c r="N37" s="15">
        <f>'Fritzøe - budsj 2020'!N40+'Fritzøe - budsjett service'!N38</f>
        <v>0</v>
      </c>
      <c r="O37" s="15">
        <f>'Fritzøe - budsj 2020'!O40+'Fritzøe - budsjett service'!O38</f>
        <v>0</v>
      </c>
      <c r="P37" s="15">
        <f t="shared" si="6"/>
        <v>0</v>
      </c>
    </row>
    <row r="38" spans="1:17" ht="12" customHeight="1" x14ac:dyDescent="0.3">
      <c r="A38" s="22">
        <v>5400</v>
      </c>
      <c r="B38" s="21" t="s">
        <v>7</v>
      </c>
      <c r="C38" s="14">
        <f t="shared" si="5"/>
        <v>2.5021992123127682E-2</v>
      </c>
      <c r="D38" s="15">
        <f>'Fritzøe - budsj 2020'!D41+'Fritzøe - budsjett service'!D39</f>
        <v>123647.52851209402</v>
      </c>
      <c r="E38" s="15">
        <f>'Fritzøe - budsj 2020'!E41+'Fritzøe - budsjett service'!E39</f>
        <v>111956.22545076923</v>
      </c>
      <c r="F38" s="15">
        <f>'Fritzøe - budsj 2020'!F41+'Fritzøe - budsjett service'!F39</f>
        <v>125411.23172792308</v>
      </c>
      <c r="G38" s="15">
        <f>'Fritzøe - budsj 2020'!G41+'Fritzøe - budsjett service'!G39</f>
        <v>118615.91885305384</v>
      </c>
      <c r="H38" s="15">
        <f>'Fritzøe - budsj 2020'!H41+'Fritzøe - budsjett service'!H39</f>
        <v>134555.32279238082</v>
      </c>
      <c r="I38" s="15">
        <f>'Fritzøe - budsj 2020'!I41+'Fritzøe - budsjett service'!I39</f>
        <v>126478.28209479233</v>
      </c>
      <c r="J38" s="15">
        <f>'Fritzøe - budsj 2020'!J41+'Fritzøe - budsjett service'!J39</f>
        <v>66540.705107423099</v>
      </c>
      <c r="K38" s="15">
        <f>'Fritzøe - budsj 2020'!K41+'Fritzøe - budsjett service'!K39</f>
        <v>101850.23727055383</v>
      </c>
      <c r="L38" s="15">
        <f>'Fritzøe - budsj 2020'!L41+'Fritzøe - budsjett service'!L39</f>
        <v>139694.05364060769</v>
      </c>
      <c r="M38" s="15">
        <f>'Fritzøe - budsj 2020'!M41+'Fritzøe - budsjett service'!M39</f>
        <v>136486.75601245387</v>
      </c>
      <c r="N38" s="15">
        <f>'Fritzøe - budsj 2020'!N41+'Fritzøe - budsjett service'!N39</f>
        <v>118517.15896498848</v>
      </c>
      <c r="O38" s="15">
        <f>'Fritzøe - budsj 2020'!O41+'Fritzøe - budsjett service'!O39</f>
        <v>109866.2147502842</v>
      </c>
      <c r="P38" s="15">
        <f t="shared" si="6"/>
        <v>1413619.6351773245</v>
      </c>
    </row>
    <row r="39" spans="1:17" x14ac:dyDescent="0.3">
      <c r="A39" s="22">
        <v>5405</v>
      </c>
      <c r="B39" s="21" t="s">
        <v>24</v>
      </c>
      <c r="C39" s="14">
        <f t="shared" si="5"/>
        <v>3.0026390547753215E-3</v>
      </c>
      <c r="D39" s="15">
        <f>'Fritzøe - budsj 2020'!D42+'Fritzøe - budsjett service'!D40</f>
        <v>14837.703421451284</v>
      </c>
      <c r="E39" s="15">
        <f>'Fritzøe - budsj 2020'!E42+'Fritzøe - budsjett service'!E40</f>
        <v>13434.747054092308</v>
      </c>
      <c r="F39" s="15">
        <f>'Fritzøe - budsj 2020'!F42+'Fritzøe - budsjett service'!F40</f>
        <v>15049.34780735077</v>
      </c>
      <c r="G39" s="15">
        <f>'Fritzøe - budsj 2020'!G42+'Fritzøe - budsjett service'!G40</f>
        <v>14233.91026236646</v>
      </c>
      <c r="H39" s="15">
        <f>'Fritzøe - budsj 2020'!H42+'Fritzøe - budsjett service'!H40</f>
        <v>16146.638735085698</v>
      </c>
      <c r="I39" s="15">
        <f>'Fritzøe - budsj 2020'!I42+'Fritzøe - budsjett service'!I40</f>
        <v>15177.39385137508</v>
      </c>
      <c r="J39" s="15">
        <f>'Fritzøe - budsj 2020'!J42+'Fritzøe - budsjett service'!J40</f>
        <v>7984.8846128907708</v>
      </c>
      <c r="K39" s="15">
        <f>'Fritzøe - budsj 2020'!K42+'Fritzøe - budsjett service'!K40</f>
        <v>12222.02847246646</v>
      </c>
      <c r="L39" s="15">
        <f>'Fritzøe - budsj 2020'!L42+'Fritzøe - budsjett service'!L40</f>
        <v>16763.286436872924</v>
      </c>
      <c r="M39" s="15">
        <f>'Fritzøe - budsj 2020'!M42+'Fritzøe - budsjett service'!M40</f>
        <v>16378.410721494463</v>
      </c>
      <c r="N39" s="15">
        <f>'Fritzøe - budsj 2020'!N42+'Fritzøe - budsjett service'!N40</f>
        <v>14222.059075798617</v>
      </c>
      <c r="O39" s="15">
        <f>'Fritzøe - budsj 2020'!O42+'Fritzøe - budsjett service'!O40</f>
        <v>13183.945770034106</v>
      </c>
      <c r="P39" s="15">
        <f t="shared" si="6"/>
        <v>169634.35622127893</v>
      </c>
    </row>
    <row r="40" spans="1:17" x14ac:dyDescent="0.3">
      <c r="B40" s="20" t="s">
        <v>208</v>
      </c>
      <c r="C40" s="53">
        <f>P40/$P$7</f>
        <v>0.38120608211974488</v>
      </c>
      <c r="D40" s="17">
        <f>SUM(D33:D39)</f>
        <v>1883910.000089101</v>
      </c>
      <c r="E40" s="17">
        <f t="shared" ref="E40:O40" si="7">SUM(E33:E39)</f>
        <v>1705727.3387202462</v>
      </c>
      <c r="F40" s="17">
        <f t="shared" si="7"/>
        <v>1910535.6607383508</v>
      </c>
      <c r="G40" s="17">
        <f t="shared" si="7"/>
        <v>1807160.0809166511</v>
      </c>
      <c r="H40" s="17">
        <f t="shared" si="7"/>
        <v>2050003.2254556208</v>
      </c>
      <c r="I40" s="17">
        <f t="shared" si="7"/>
        <v>1926749.2156341674</v>
      </c>
      <c r="J40" s="17">
        <f t="shared" si="7"/>
        <v>1013733.776183391</v>
      </c>
      <c r="K40" s="17">
        <f t="shared" si="7"/>
        <v>1551568.9122980968</v>
      </c>
      <c r="L40" s="17">
        <f t="shared" si="7"/>
        <v>2128052.8832784039</v>
      </c>
      <c r="M40" s="17">
        <f t="shared" si="7"/>
        <v>2079377.6472825636</v>
      </c>
      <c r="N40" s="17">
        <f t="shared" si="7"/>
        <v>1805704.1474452489</v>
      </c>
      <c r="O40" s="17">
        <f t="shared" si="7"/>
        <v>1673748.0883768143</v>
      </c>
      <c r="P40" s="17">
        <f>SUM(P33:P39)</f>
        <v>21536270.976418659</v>
      </c>
      <c r="Q40" s="107"/>
    </row>
    <row r="41" spans="1:17" x14ac:dyDescent="0.3">
      <c r="A41" s="22"/>
      <c r="B41" s="21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7" x14ac:dyDescent="0.3">
      <c r="A42" s="23" t="s">
        <v>209</v>
      </c>
      <c r="B42" s="21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7" s="7" customFormat="1" x14ac:dyDescent="0.3">
      <c r="A43" s="22">
        <v>5920</v>
      </c>
      <c r="B43" s="21" t="s">
        <v>55</v>
      </c>
      <c r="C43" s="14">
        <f t="shared" si="5"/>
        <v>1.0620392431089395E-3</v>
      </c>
      <c r="D43" s="15">
        <f>'Fritzøe - budsj 2020'!D47+'Fritzøe - budsjett service'!D44</f>
        <v>5000</v>
      </c>
      <c r="E43" s="15">
        <f>'Fritzøe - budsj 2020'!E47+'Fritzøe - budsjett service'!E44</f>
        <v>5000</v>
      </c>
      <c r="F43" s="15">
        <f>'Fritzøe - budsj 2020'!F47+'Fritzøe - budsjett service'!F44</f>
        <v>5000</v>
      </c>
      <c r="G43" s="15">
        <f>'Fritzøe - budsj 2020'!G47+'Fritzøe - budsjett service'!G44</f>
        <v>5000</v>
      </c>
      <c r="H43" s="15">
        <f>'Fritzøe - budsj 2020'!H47+'Fritzøe - budsjett service'!H44</f>
        <v>5000</v>
      </c>
      <c r="I43" s="15">
        <f>'Fritzøe - budsj 2020'!I47+'Fritzøe - budsjett service'!I44</f>
        <v>5000</v>
      </c>
      <c r="J43" s="15">
        <f>'Fritzøe - budsj 2020'!J47+'Fritzøe - budsjett service'!J44</f>
        <v>5000</v>
      </c>
      <c r="K43" s="15">
        <f>'Fritzøe - budsj 2020'!K47+'Fritzøe - budsjett service'!K44</f>
        <v>5000</v>
      </c>
      <c r="L43" s="15">
        <f>'Fritzøe - budsj 2020'!L47+'Fritzøe - budsjett service'!L44</f>
        <v>5000</v>
      </c>
      <c r="M43" s="15">
        <f>'Fritzøe - budsj 2020'!M47+'Fritzøe - budsjett service'!M44</f>
        <v>5000</v>
      </c>
      <c r="N43" s="15">
        <f>'Fritzøe - budsj 2020'!N47+'Fritzøe - budsjett service'!N44</f>
        <v>5000</v>
      </c>
      <c r="O43" s="15">
        <f>'Fritzøe - budsj 2020'!O47+'Fritzøe - budsjett service'!O44</f>
        <v>5000</v>
      </c>
      <c r="P43" s="15">
        <f>SUM(D43:O43)</f>
        <v>60000</v>
      </c>
      <c r="Q43" s="84"/>
    </row>
    <row r="44" spans="1:17" x14ac:dyDescent="0.3">
      <c r="A44" s="22">
        <v>5945</v>
      </c>
      <c r="B44" s="43" t="s">
        <v>133</v>
      </c>
      <c r="C44" s="14">
        <f t="shared" si="5"/>
        <v>9.4521359845123991E-3</v>
      </c>
      <c r="D44" s="15">
        <f>'Fritzøe - budsj 2020'!D48+'Fritzøe - budsjett service'!D45</f>
        <v>46832.563709435897</v>
      </c>
      <c r="E44" s="15">
        <f>'Fritzøe - budsj 2020'!E48+'Fritzøe - budsjett service'!E45</f>
        <v>42301.550215384617</v>
      </c>
      <c r="F44" s="15">
        <f>'Fritzøe - budsj 2020'!F48+'Fritzøe - budsjett service'!F45</f>
        <v>47380.572138461546</v>
      </c>
      <c r="G44" s="15">
        <f>'Fritzøe - budsj 2020'!G48+'Fritzøe - budsjett service'!G45</f>
        <v>44847.850331976922</v>
      </c>
      <c r="H44" s="15">
        <f>'Fritzøe - budsj 2020'!H48+'Fritzøe - budsjett service'!H45</f>
        <v>50980.8921295154</v>
      </c>
      <c r="I44" s="15">
        <f>'Fritzøe - budsj 2020'!I48+'Fritzøe - budsjett service'!I45</f>
        <v>47768.021588146163</v>
      </c>
      <c r="J44" s="15">
        <f>'Fritzøe - budsj 2020'!J48+'Fritzøe - budsjett service'!J45</f>
        <v>24789.557658461541</v>
      </c>
      <c r="K44" s="15">
        <f>'Fritzøe - budsj 2020'!K48+'Fritzøe - budsjett service'!K45</f>
        <v>38311.942853076915</v>
      </c>
      <c r="L44" s="15">
        <f>'Fritzøe - budsj 2020'!L48+'Fritzøe - budsjett service'!L45</f>
        <v>52829.709448153837</v>
      </c>
      <c r="M44" s="15">
        <f>'Fritzøe - budsj 2020'!M48+'Fritzøe - budsjett service'!M45</f>
        <v>51696.482249076915</v>
      </c>
      <c r="N44" s="15">
        <f>'Fritzøe - budsj 2020'!N48+'Fritzøe - budsjett service'!N45</f>
        <v>44835.81408276924</v>
      </c>
      <c r="O44" s="15">
        <f>'Fritzøe - budsj 2020'!O48+'Fritzøe - budsjett service'!O45</f>
        <v>41424.293388394879</v>
      </c>
      <c r="P44" s="15">
        <f>SUM(D44:O44)</f>
        <v>533999.24979285384</v>
      </c>
    </row>
    <row r="45" spans="1:17" x14ac:dyDescent="0.3">
      <c r="A45" s="22">
        <v>5990</v>
      </c>
      <c r="B45" s="21" t="s">
        <v>8</v>
      </c>
      <c r="C45" s="14">
        <f t="shared" si="5"/>
        <v>1.5930588646634093E-3</v>
      </c>
      <c r="D45" s="15">
        <f>'Fritzøe - budsj 2020'!D51+'Fritzøe - budsjett service'!D46</f>
        <v>7500</v>
      </c>
      <c r="E45" s="15">
        <f>'Fritzøe - budsj 2020'!E51+'Fritzøe - budsjett service'!E46</f>
        <v>7500</v>
      </c>
      <c r="F45" s="15">
        <f>'Fritzøe - budsj 2020'!F51+'Fritzøe - budsjett service'!F46</f>
        <v>7500</v>
      </c>
      <c r="G45" s="15">
        <f>'Fritzøe - budsj 2020'!G51+'Fritzøe - budsjett service'!G46</f>
        <v>7500</v>
      </c>
      <c r="H45" s="15">
        <f>'Fritzøe - budsj 2020'!H51+'Fritzøe - budsjett service'!H46</f>
        <v>7500</v>
      </c>
      <c r="I45" s="15">
        <f>'Fritzøe - budsj 2020'!I51+'Fritzøe - budsjett service'!I46</f>
        <v>7500</v>
      </c>
      <c r="J45" s="15">
        <f>'Fritzøe - budsj 2020'!J51+'Fritzøe - budsjett service'!J46</f>
        <v>7500</v>
      </c>
      <c r="K45" s="15">
        <f>'Fritzøe - budsj 2020'!K51+'Fritzøe - budsjett service'!K46</f>
        <v>7500</v>
      </c>
      <c r="L45" s="15">
        <f>'Fritzøe - budsj 2020'!L51+'Fritzøe - budsjett service'!L46</f>
        <v>7500</v>
      </c>
      <c r="M45" s="15">
        <f>'Fritzøe - budsj 2020'!M51+'Fritzøe - budsjett service'!M46</f>
        <v>7500</v>
      </c>
      <c r="N45" s="15">
        <f>'Fritzøe - budsj 2020'!N51+'Fritzøe - budsjett service'!N46</f>
        <v>7500</v>
      </c>
      <c r="O45" s="15">
        <f>'Fritzøe - budsj 2020'!O51+'Fritzøe - budsjett service'!O46</f>
        <v>7500</v>
      </c>
      <c r="P45" s="15">
        <f>SUM(D45:O45)</f>
        <v>90000</v>
      </c>
    </row>
    <row r="46" spans="1:17" x14ac:dyDescent="0.3">
      <c r="A46" s="23"/>
      <c r="B46" s="20" t="s">
        <v>210</v>
      </c>
      <c r="C46" s="56">
        <f>P46/$P$7</f>
        <v>1.2107234092284749E-2</v>
      </c>
      <c r="D46" s="17">
        <f>SUM(D43:D45)</f>
        <v>59332.563709435897</v>
      </c>
      <c r="E46" s="17">
        <f t="shared" ref="E46:O46" si="8">SUM(E43:E45)</f>
        <v>54801.550215384617</v>
      </c>
      <c r="F46" s="17">
        <f t="shared" si="8"/>
        <v>59880.572138461546</v>
      </c>
      <c r="G46" s="17">
        <f t="shared" si="8"/>
        <v>57347.850331976922</v>
      </c>
      <c r="H46" s="17">
        <f t="shared" si="8"/>
        <v>63480.8921295154</v>
      </c>
      <c r="I46" s="17">
        <f t="shared" si="8"/>
        <v>60268.021588146163</v>
      </c>
      <c r="J46" s="17">
        <f t="shared" si="8"/>
        <v>37289.557658461541</v>
      </c>
      <c r="K46" s="17">
        <f t="shared" si="8"/>
        <v>50811.942853076915</v>
      </c>
      <c r="L46" s="17">
        <f t="shared" si="8"/>
        <v>65329.709448153837</v>
      </c>
      <c r="M46" s="17">
        <f t="shared" si="8"/>
        <v>64196.482249076915</v>
      </c>
      <c r="N46" s="17">
        <f t="shared" si="8"/>
        <v>57335.81408276924</v>
      </c>
      <c r="O46" s="17">
        <f t="shared" si="8"/>
        <v>53924.293388394879</v>
      </c>
      <c r="P46" s="17">
        <f>SUM(P43:P45)</f>
        <v>683999.24979285384</v>
      </c>
    </row>
    <row r="47" spans="1:17" x14ac:dyDescent="0.3">
      <c r="A47" s="23"/>
      <c r="B47" s="23"/>
      <c r="C47" s="18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7" x14ac:dyDescent="0.3">
      <c r="A48" s="23"/>
      <c r="B48" s="23" t="s">
        <v>211</v>
      </c>
      <c r="C48" s="18"/>
      <c r="D48" s="16">
        <f>D40+D46</f>
        <v>1943242.563798537</v>
      </c>
      <c r="E48" s="16">
        <f t="shared" ref="E48:O48" si="9">E40+E46</f>
        <v>1760528.8889356309</v>
      </c>
      <c r="F48" s="16">
        <f t="shared" si="9"/>
        <v>1970416.2328768123</v>
      </c>
      <c r="G48" s="16">
        <f t="shared" si="9"/>
        <v>1864507.9312486281</v>
      </c>
      <c r="H48" s="16">
        <f t="shared" si="9"/>
        <v>2113484.1175851361</v>
      </c>
      <c r="I48" s="16">
        <f t="shared" si="9"/>
        <v>1987017.2372223136</v>
      </c>
      <c r="J48" s="16">
        <f t="shared" si="9"/>
        <v>1051023.3338418526</v>
      </c>
      <c r="K48" s="16">
        <f t="shared" si="9"/>
        <v>1602380.8551511737</v>
      </c>
      <c r="L48" s="16">
        <f t="shared" si="9"/>
        <v>2193382.5927265575</v>
      </c>
      <c r="M48" s="16">
        <f t="shared" si="9"/>
        <v>2143574.1295316406</v>
      </c>
      <c r="N48" s="16">
        <f t="shared" si="9"/>
        <v>1863039.9615280181</v>
      </c>
      <c r="O48" s="16">
        <f t="shared" si="9"/>
        <v>1727672.3817652091</v>
      </c>
      <c r="P48" s="16">
        <f>P40+P46</f>
        <v>22220270.226211514</v>
      </c>
      <c r="Q48" s="108"/>
    </row>
    <row r="49" spans="1:17" x14ac:dyDescent="0.3">
      <c r="A49" s="23"/>
      <c r="B49" s="23"/>
      <c r="C49" s="18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07"/>
    </row>
    <row r="50" spans="1:17" x14ac:dyDescent="0.3">
      <c r="A50" s="23" t="s">
        <v>244</v>
      </c>
      <c r="B50" s="21"/>
      <c r="C50" s="18">
        <f>P50/$P$7</f>
        <v>0.13083772304095939</v>
      </c>
      <c r="D50" s="16">
        <f>D30-D48</f>
        <v>508559.65297682397</v>
      </c>
      <c r="E50" s="16">
        <f t="shared" ref="E50:P50" si="10">E30-E48</f>
        <v>572736.87089442951</v>
      </c>
      <c r="F50" s="16">
        <f t="shared" si="10"/>
        <v>946542.19013121375</v>
      </c>
      <c r="G50" s="16">
        <f t="shared" si="10"/>
        <v>292566.64198975265</v>
      </c>
      <c r="H50" s="16">
        <f t="shared" si="10"/>
        <v>301407.46673644939</v>
      </c>
      <c r="I50" s="16">
        <f t="shared" si="10"/>
        <v>932145.66421753098</v>
      </c>
      <c r="J50" s="16">
        <f t="shared" si="10"/>
        <v>366326.90278712939</v>
      </c>
      <c r="K50" s="16">
        <f t="shared" si="10"/>
        <v>874702.01800631406</v>
      </c>
      <c r="L50" s="16">
        <f t="shared" si="10"/>
        <v>1229897.3239447987</v>
      </c>
      <c r="M50" s="16">
        <f t="shared" si="10"/>
        <v>1002020.0933985747</v>
      </c>
      <c r="N50" s="16">
        <f t="shared" si="10"/>
        <v>250306.1068552006</v>
      </c>
      <c r="O50" s="16">
        <f t="shared" si="10"/>
        <v>114477.6835193974</v>
      </c>
      <c r="P50" s="16">
        <f t="shared" si="10"/>
        <v>7391688.6154576093</v>
      </c>
      <c r="Q50" s="108"/>
    </row>
    <row r="51" spans="1:17" x14ac:dyDescent="0.3">
      <c r="A51" s="22"/>
      <c r="B51" s="21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7" x14ac:dyDescent="0.3">
      <c r="A52" s="23" t="s">
        <v>9</v>
      </c>
      <c r="B52" s="21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7" x14ac:dyDescent="0.3">
      <c r="A53" s="22">
        <v>6000</v>
      </c>
      <c r="B53" s="21" t="s">
        <v>21</v>
      </c>
      <c r="C53" s="14">
        <f>P53/$P$7</f>
        <v>4.8853805183011216E-3</v>
      </c>
      <c r="D53" s="15">
        <f>'Fritzøe - budsj 2020'!D59+'Fritzøe - budsjett service'!D54</f>
        <v>23000</v>
      </c>
      <c r="E53" s="15">
        <f>'Fritzøe - budsj 2020'!E59+'Fritzøe - budsjett service'!E54</f>
        <v>23000</v>
      </c>
      <c r="F53" s="15">
        <f>'Fritzøe - budsj 2020'!F59+'Fritzøe - budsjett service'!F54</f>
        <v>23000</v>
      </c>
      <c r="G53" s="15">
        <f>'Fritzøe - budsj 2020'!G59+'Fritzøe - budsjett service'!G54</f>
        <v>23000</v>
      </c>
      <c r="H53" s="15">
        <f>'Fritzøe - budsj 2020'!H59+'Fritzøe - budsjett service'!H54</f>
        <v>23000</v>
      </c>
      <c r="I53" s="15">
        <f>'Fritzøe - budsj 2020'!I59+'Fritzøe - budsjett service'!I54</f>
        <v>23000</v>
      </c>
      <c r="J53" s="15">
        <f>'Fritzøe - budsj 2020'!J59+'Fritzøe - budsjett service'!J54</f>
        <v>23000</v>
      </c>
      <c r="K53" s="15">
        <f>'Fritzøe - budsj 2020'!K59+'Fritzøe - budsjett service'!K54</f>
        <v>23000</v>
      </c>
      <c r="L53" s="15">
        <f>'Fritzøe - budsj 2020'!L59+'Fritzøe - budsjett service'!L54</f>
        <v>23000</v>
      </c>
      <c r="M53" s="15">
        <f>'Fritzøe - budsj 2020'!M59+'Fritzøe - budsjett service'!M54</f>
        <v>23000</v>
      </c>
      <c r="N53" s="15">
        <f>'Fritzøe - budsj 2020'!N59+'Fritzøe - budsjett service'!N54</f>
        <v>23000</v>
      </c>
      <c r="O53" s="15">
        <f>'Fritzøe - budsj 2020'!O59+'Fritzøe - budsjett service'!O54</f>
        <v>23000</v>
      </c>
      <c r="P53" s="15">
        <f>SUM(D53:O53)</f>
        <v>276000</v>
      </c>
    </row>
    <row r="54" spans="1:17" x14ac:dyDescent="0.3">
      <c r="A54" s="23"/>
      <c r="B54" s="20" t="s">
        <v>37</v>
      </c>
      <c r="C54" s="26">
        <f>P54/$P$7</f>
        <v>4.8853805183011216E-3</v>
      </c>
      <c r="D54" s="17">
        <f t="shared" ref="D54:P54" si="11">SUM(D53:D53)</f>
        <v>23000</v>
      </c>
      <c r="E54" s="17">
        <f t="shared" si="11"/>
        <v>23000</v>
      </c>
      <c r="F54" s="17">
        <f t="shared" si="11"/>
        <v>23000</v>
      </c>
      <c r="G54" s="17">
        <f t="shared" si="11"/>
        <v>23000</v>
      </c>
      <c r="H54" s="17">
        <f t="shared" si="11"/>
        <v>23000</v>
      </c>
      <c r="I54" s="17">
        <f t="shared" si="11"/>
        <v>23000</v>
      </c>
      <c r="J54" s="17">
        <f t="shared" si="11"/>
        <v>23000</v>
      </c>
      <c r="K54" s="17">
        <f t="shared" si="11"/>
        <v>23000</v>
      </c>
      <c r="L54" s="17">
        <f t="shared" si="11"/>
        <v>23000</v>
      </c>
      <c r="M54" s="17">
        <f t="shared" si="11"/>
        <v>23000</v>
      </c>
      <c r="N54" s="17">
        <f t="shared" si="11"/>
        <v>23000</v>
      </c>
      <c r="O54" s="17">
        <f t="shared" si="11"/>
        <v>23000</v>
      </c>
      <c r="P54" s="17">
        <f t="shared" si="11"/>
        <v>276000</v>
      </c>
    </row>
    <row r="55" spans="1:17" x14ac:dyDescent="0.3">
      <c r="A55" s="22"/>
      <c r="B55" s="21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7" x14ac:dyDescent="0.3">
      <c r="A56" s="23" t="s">
        <v>10</v>
      </c>
      <c r="B56" s="21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7" s="7" customFormat="1" x14ac:dyDescent="0.3">
      <c r="A57" s="22">
        <v>6300</v>
      </c>
      <c r="B57" s="21" t="s">
        <v>18</v>
      </c>
      <c r="C57" s="14">
        <f>P57/$P$7</f>
        <v>4.5770917668114591E-3</v>
      </c>
      <c r="D57" s="15">
        <f>'Fritzøe - budsj 2020'!D63+'Fritzøe - budsjett service'!D58</f>
        <v>21548.6</v>
      </c>
      <c r="E57" s="15">
        <f>'Fritzøe - budsj 2020'!E63+'Fritzøe - budsjett service'!E58</f>
        <v>21548.6</v>
      </c>
      <c r="F57" s="15">
        <f>'Fritzøe - budsj 2020'!F63+'Fritzøe - budsjett service'!F58</f>
        <v>21548.6</v>
      </c>
      <c r="G57" s="15">
        <f>'Fritzøe - budsj 2020'!G63+'Fritzøe - budsjett service'!G58</f>
        <v>21548.6</v>
      </c>
      <c r="H57" s="15">
        <f>'Fritzøe - budsj 2020'!H63+'Fritzøe - budsjett service'!H58</f>
        <v>21548.6</v>
      </c>
      <c r="I57" s="15">
        <f>'Fritzøe - budsj 2020'!I63+'Fritzøe - budsjett service'!I58</f>
        <v>21548.6</v>
      </c>
      <c r="J57" s="15">
        <f>'Fritzøe - budsj 2020'!J63+'Fritzøe - budsjett service'!J58</f>
        <v>21548.6</v>
      </c>
      <c r="K57" s="15">
        <f>'Fritzøe - budsj 2020'!K63+'Fritzøe - budsjett service'!K58</f>
        <v>21548.6</v>
      </c>
      <c r="L57" s="15">
        <f>'Fritzøe - budsj 2020'!L63+'Fritzøe - budsjett service'!L58</f>
        <v>21548.6</v>
      </c>
      <c r="M57" s="15">
        <f>'Fritzøe - budsj 2020'!M63+'Fritzøe - budsjett service'!M58</f>
        <v>21548.6</v>
      </c>
      <c r="N57" s="15">
        <f>'Fritzøe - budsj 2020'!N63+'Fritzøe - budsjett service'!N58</f>
        <v>21548.6</v>
      </c>
      <c r="O57" s="15">
        <f>'Fritzøe - budsj 2020'!O63+'Fritzøe - budsjett service'!O58</f>
        <v>21548.6</v>
      </c>
      <c r="P57" s="15">
        <f>SUM(D57:O57)</f>
        <v>258583.20000000004</v>
      </c>
      <c r="Q57" s="84"/>
    </row>
    <row r="58" spans="1:17" ht="12" customHeight="1" x14ac:dyDescent="0.3">
      <c r="A58" s="22">
        <v>6340</v>
      </c>
      <c r="B58" s="43" t="s">
        <v>135</v>
      </c>
      <c r="C58" s="14">
        <f>P58/$P$7</f>
        <v>4.9913720347633949E-4</v>
      </c>
      <c r="D58" s="15">
        <f>'Fritzøe - budsj 2020'!D66+'Fritzøe - budsjett service'!D59</f>
        <v>2349.9</v>
      </c>
      <c r="E58" s="15">
        <f>'Fritzøe - budsj 2020'!E66+'Fritzøe - budsjett service'!E59</f>
        <v>2349.9</v>
      </c>
      <c r="F58" s="15">
        <f>'Fritzøe - budsj 2020'!F66+'Fritzøe - budsjett service'!F59</f>
        <v>2349.9</v>
      </c>
      <c r="G58" s="15">
        <f>'Fritzøe - budsj 2020'!G66+'Fritzøe - budsjett service'!G59</f>
        <v>2349.9</v>
      </c>
      <c r="H58" s="15">
        <f>'Fritzøe - budsj 2020'!H66+'Fritzøe - budsjett service'!H59</f>
        <v>2349.9</v>
      </c>
      <c r="I58" s="15">
        <f>'Fritzøe - budsj 2020'!I66+'Fritzøe - budsjett service'!I59</f>
        <v>2349.9</v>
      </c>
      <c r="J58" s="15">
        <f>'Fritzøe - budsj 2020'!J66+'Fritzøe - budsjett service'!J59</f>
        <v>2349.9</v>
      </c>
      <c r="K58" s="15">
        <f>'Fritzøe - budsj 2020'!K66+'Fritzøe - budsjett service'!K59</f>
        <v>2349.9</v>
      </c>
      <c r="L58" s="15">
        <f>'Fritzøe - budsj 2020'!L66+'Fritzøe - budsjett service'!L59</f>
        <v>2349.9</v>
      </c>
      <c r="M58" s="15">
        <f>'Fritzøe - budsj 2020'!M66+'Fritzøe - budsjett service'!M59</f>
        <v>2349.9</v>
      </c>
      <c r="N58" s="15">
        <f>'Fritzøe - budsj 2020'!N66+'Fritzøe - budsjett service'!N59</f>
        <v>2349.9</v>
      </c>
      <c r="O58" s="15">
        <f>'Fritzøe - budsj 2020'!O66+'Fritzøe - budsjett service'!O59</f>
        <v>2349.9</v>
      </c>
      <c r="P58" s="15">
        <f>SUM(D58:O58)</f>
        <v>28198.800000000007</v>
      </c>
    </row>
    <row r="59" spans="1:17" x14ac:dyDescent="0.3">
      <c r="A59" s="22">
        <v>6360</v>
      </c>
      <c r="B59" s="21" t="s">
        <v>11</v>
      </c>
      <c r="C59" s="14">
        <f>P59/$P$7</f>
        <v>4.0559278694330401E-4</v>
      </c>
      <c r="D59" s="15">
        <f>'Fritzøe - budsj 2020'!D67+'Fritzøe - budsjett service'!D60</f>
        <v>1909.5</v>
      </c>
      <c r="E59" s="15">
        <f>'Fritzøe - budsj 2020'!E67+'Fritzøe - budsjett service'!E60</f>
        <v>1909.5</v>
      </c>
      <c r="F59" s="15">
        <f>'Fritzøe - budsj 2020'!F67+'Fritzøe - budsjett service'!F60</f>
        <v>1909.5</v>
      </c>
      <c r="G59" s="15">
        <f>'Fritzøe - budsj 2020'!G67+'Fritzøe - budsjett service'!G60</f>
        <v>1909.5</v>
      </c>
      <c r="H59" s="15">
        <f>'Fritzøe - budsj 2020'!H67+'Fritzøe - budsjett service'!H60</f>
        <v>1909.5</v>
      </c>
      <c r="I59" s="15">
        <f>'Fritzøe - budsj 2020'!I67+'Fritzøe - budsjett service'!I60</f>
        <v>1909.5</v>
      </c>
      <c r="J59" s="15">
        <f>'Fritzøe - budsj 2020'!J67+'Fritzøe - budsjett service'!J60</f>
        <v>1909.5</v>
      </c>
      <c r="K59" s="15">
        <f>'Fritzøe - budsj 2020'!K67+'Fritzøe - budsjett service'!K60</f>
        <v>1909.5</v>
      </c>
      <c r="L59" s="15">
        <f>'Fritzøe - budsj 2020'!L67+'Fritzøe - budsjett service'!L60</f>
        <v>1909.5</v>
      </c>
      <c r="M59" s="15">
        <f>'Fritzøe - budsj 2020'!M67+'Fritzøe - budsjett service'!M60</f>
        <v>1909.5</v>
      </c>
      <c r="N59" s="15">
        <f>'Fritzøe - budsj 2020'!N67+'Fritzøe - budsjett service'!N60</f>
        <v>1909.5</v>
      </c>
      <c r="O59" s="15">
        <f>'Fritzøe - budsj 2020'!O67+'Fritzøe - budsjett service'!O60</f>
        <v>1909.5</v>
      </c>
      <c r="P59" s="15">
        <f>SUM(D59:O59)</f>
        <v>22914</v>
      </c>
    </row>
    <row r="60" spans="1:17" x14ac:dyDescent="0.3">
      <c r="A60" s="22">
        <v>6390</v>
      </c>
      <c r="B60" s="21" t="s">
        <v>12</v>
      </c>
      <c r="C60" s="14">
        <f>P60/$P$7</f>
        <v>7.4130339169003979E-4</v>
      </c>
      <c r="D60" s="15">
        <f>'Fritzøe - budsj 2020'!D69+'Fritzøe - budsjett service'!D61</f>
        <v>3490</v>
      </c>
      <c r="E60" s="15">
        <f>'Fritzøe - budsj 2020'!E69+'Fritzøe - budsjett service'!E61</f>
        <v>3490</v>
      </c>
      <c r="F60" s="15">
        <f>'Fritzøe - budsj 2020'!F69+'Fritzøe - budsjett service'!F61</f>
        <v>3490</v>
      </c>
      <c r="G60" s="15">
        <f>'Fritzøe - budsj 2020'!G69+'Fritzøe - budsjett service'!G61</f>
        <v>3490</v>
      </c>
      <c r="H60" s="15">
        <f>'Fritzøe - budsj 2020'!H69+'Fritzøe - budsjett service'!H61</f>
        <v>3490</v>
      </c>
      <c r="I60" s="15">
        <f>'Fritzøe - budsj 2020'!I69+'Fritzøe - budsjett service'!I61</f>
        <v>3490</v>
      </c>
      <c r="J60" s="15">
        <f>'Fritzøe - budsj 2020'!J69+'Fritzøe - budsjett service'!J61</f>
        <v>3490</v>
      </c>
      <c r="K60" s="15">
        <f>'Fritzøe - budsj 2020'!K69+'Fritzøe - budsjett service'!K61</f>
        <v>3490</v>
      </c>
      <c r="L60" s="15">
        <f>'Fritzøe - budsj 2020'!L69+'Fritzøe - budsjett service'!L61</f>
        <v>3490</v>
      </c>
      <c r="M60" s="15">
        <f>'Fritzøe - budsj 2020'!M69+'Fritzøe - budsjett service'!M61</f>
        <v>3490</v>
      </c>
      <c r="N60" s="15">
        <f>'Fritzøe - budsj 2020'!N69+'Fritzøe - budsjett service'!N61</f>
        <v>3490</v>
      </c>
      <c r="O60" s="15">
        <f>'Fritzøe - budsj 2020'!O69+'Fritzøe - budsjett service'!O61</f>
        <v>3490</v>
      </c>
      <c r="P60" s="15">
        <f>SUM(D60:O60)</f>
        <v>41880</v>
      </c>
    </row>
    <row r="61" spans="1:17" x14ac:dyDescent="0.3">
      <c r="A61" s="23"/>
      <c r="B61" s="20" t="s">
        <v>38</v>
      </c>
      <c r="C61" s="26">
        <f>P61/$P$7</f>
        <v>6.2231251489211431E-3</v>
      </c>
      <c r="D61" s="17">
        <f t="shared" ref="D61:O61" si="12">SUM(D57:D60)</f>
        <v>29298</v>
      </c>
      <c r="E61" s="17">
        <f t="shared" si="12"/>
        <v>29298</v>
      </c>
      <c r="F61" s="17">
        <f t="shared" si="12"/>
        <v>29298</v>
      </c>
      <c r="G61" s="17">
        <f t="shared" si="12"/>
        <v>29298</v>
      </c>
      <c r="H61" s="17">
        <f t="shared" si="12"/>
        <v>29298</v>
      </c>
      <c r="I61" s="17">
        <f t="shared" si="12"/>
        <v>29298</v>
      </c>
      <c r="J61" s="17">
        <f t="shared" si="12"/>
        <v>29298</v>
      </c>
      <c r="K61" s="17">
        <f t="shared" si="12"/>
        <v>29298</v>
      </c>
      <c r="L61" s="17">
        <f t="shared" si="12"/>
        <v>29298</v>
      </c>
      <c r="M61" s="17">
        <f t="shared" si="12"/>
        <v>29298</v>
      </c>
      <c r="N61" s="17">
        <f t="shared" si="12"/>
        <v>29298</v>
      </c>
      <c r="O61" s="17">
        <f t="shared" si="12"/>
        <v>29298</v>
      </c>
      <c r="P61" s="17">
        <f>SUM(P57:P60)</f>
        <v>351576.00000000006</v>
      </c>
    </row>
    <row r="62" spans="1:17" x14ac:dyDescent="0.3">
      <c r="A62" s="23"/>
      <c r="B62" s="23"/>
      <c r="C62" s="14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7" x14ac:dyDescent="0.3">
      <c r="A63" s="23" t="s">
        <v>74</v>
      </c>
      <c r="B63" s="21"/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7" x14ac:dyDescent="0.3">
      <c r="A64" s="22">
        <v>6416</v>
      </c>
      <c r="B64" s="43" t="s">
        <v>287</v>
      </c>
      <c r="C64" s="14">
        <f>P64/$P$7</f>
        <v>1.4178223895504342E-3</v>
      </c>
      <c r="D64" s="15">
        <f>'Fritzøe - budsj 2020'!D73+'Fritzøe - budsjett service'!D65</f>
        <v>6675</v>
      </c>
      <c r="E64" s="15">
        <f>'Fritzøe - budsj 2020'!E73+'Fritzøe - budsjett service'!E65</f>
        <v>6675</v>
      </c>
      <c r="F64" s="15">
        <f>'Fritzøe - budsj 2020'!F73+'Fritzøe - budsjett service'!F65</f>
        <v>6675</v>
      </c>
      <c r="G64" s="15">
        <f>'Fritzøe - budsj 2020'!G73+'Fritzøe - budsjett service'!G65</f>
        <v>6675</v>
      </c>
      <c r="H64" s="15">
        <f>'Fritzøe - budsj 2020'!H73+'Fritzøe - budsjett service'!H65</f>
        <v>6675</v>
      </c>
      <c r="I64" s="15">
        <f>'Fritzøe - budsj 2020'!I73+'Fritzøe - budsjett service'!I65</f>
        <v>6675</v>
      </c>
      <c r="J64" s="15">
        <f>'Fritzøe - budsj 2020'!J73+'Fritzøe - budsjett service'!J65</f>
        <v>6675</v>
      </c>
      <c r="K64" s="15">
        <f>'Fritzøe - budsj 2020'!K73+'Fritzøe - budsjett service'!K65</f>
        <v>6675</v>
      </c>
      <c r="L64" s="15">
        <f>'Fritzøe - budsj 2020'!L73+'Fritzøe - budsjett service'!L65</f>
        <v>6675</v>
      </c>
      <c r="M64" s="15">
        <f>'Fritzøe - budsj 2020'!M73+'Fritzøe - budsjett service'!M65</f>
        <v>6675</v>
      </c>
      <c r="N64" s="15">
        <f>'Fritzøe - budsj 2020'!N73+'Fritzøe - budsjett service'!N65</f>
        <v>6675</v>
      </c>
      <c r="O64" s="15">
        <f>'Fritzøe - budsj 2020'!O73+'Fritzøe - budsjett service'!O65</f>
        <v>6675</v>
      </c>
      <c r="P64" s="15">
        <f t="shared" ref="P64:P76" si="13">SUM(D64:O64)</f>
        <v>80100</v>
      </c>
    </row>
    <row r="65" spans="1:16" x14ac:dyDescent="0.3">
      <c r="A65" s="22">
        <v>6417</v>
      </c>
      <c r="B65" s="43" t="s">
        <v>288</v>
      </c>
      <c r="C65" s="14">
        <f>P65/$P$7</f>
        <v>1.5856245899616467E-3</v>
      </c>
      <c r="D65" s="15">
        <f>'Fritzøe - budsj 2020'!D74+'Fritzøe - budsjett service'!D66</f>
        <v>7465</v>
      </c>
      <c r="E65" s="15">
        <f>'Fritzøe - budsj 2020'!E74+'Fritzøe - budsjett service'!E66</f>
        <v>7465</v>
      </c>
      <c r="F65" s="15">
        <f>'Fritzøe - budsj 2020'!F74+'Fritzøe - budsjett service'!F66</f>
        <v>7465</v>
      </c>
      <c r="G65" s="15">
        <f>'Fritzøe - budsj 2020'!G74+'Fritzøe - budsjett service'!G66</f>
        <v>7465</v>
      </c>
      <c r="H65" s="15">
        <f>'Fritzøe - budsj 2020'!H74+'Fritzøe - budsjett service'!H66</f>
        <v>7465</v>
      </c>
      <c r="I65" s="15">
        <f>'Fritzøe - budsj 2020'!I74+'Fritzøe - budsjett service'!I66</f>
        <v>7465</v>
      </c>
      <c r="J65" s="15">
        <f>'Fritzøe - budsj 2020'!J74+'Fritzøe - budsjett service'!J66</f>
        <v>7465</v>
      </c>
      <c r="K65" s="15">
        <f>'Fritzøe - budsj 2020'!K74+'Fritzøe - budsjett service'!K66</f>
        <v>7465</v>
      </c>
      <c r="L65" s="15">
        <f>'Fritzøe - budsj 2020'!L74+'Fritzøe - budsjett service'!L66</f>
        <v>7465</v>
      </c>
      <c r="M65" s="15">
        <f>'Fritzøe - budsj 2020'!M74+'Fritzøe - budsjett service'!M66</f>
        <v>7465</v>
      </c>
      <c r="N65" s="15">
        <f>'Fritzøe - budsj 2020'!N74+'Fritzøe - budsjett service'!N66</f>
        <v>7465</v>
      </c>
      <c r="O65" s="15">
        <f>'Fritzøe - budsj 2020'!O74+'Fritzøe - budsjett service'!O66</f>
        <v>7465</v>
      </c>
      <c r="P65" s="15">
        <f t="shared" si="13"/>
        <v>89580</v>
      </c>
    </row>
    <row r="66" spans="1:16" x14ac:dyDescent="0.3">
      <c r="A66" s="22">
        <v>6441</v>
      </c>
      <c r="B66" s="43" t="s">
        <v>146</v>
      </c>
      <c r="C66" s="14">
        <f t="shared" ref="C66:C77" si="14">P66/$P$7</f>
        <v>9.5732217373839805E-4</v>
      </c>
      <c r="D66" s="15">
        <f>'Fritzøe - budsj 2020'!D75+'Fritzøe - budsjett service'!D67</f>
        <v>4507</v>
      </c>
      <c r="E66" s="15">
        <f>'Fritzøe - budsj 2020'!E75+'Fritzøe - budsjett service'!E67</f>
        <v>4507</v>
      </c>
      <c r="F66" s="15">
        <f>'Fritzøe - budsj 2020'!F75+'Fritzøe - budsjett service'!F67</f>
        <v>4507</v>
      </c>
      <c r="G66" s="15">
        <f>'Fritzøe - budsj 2020'!G75+'Fritzøe - budsjett service'!G67</f>
        <v>4507</v>
      </c>
      <c r="H66" s="15">
        <f>'Fritzøe - budsj 2020'!H75+'Fritzøe - budsjett service'!H67</f>
        <v>4507</v>
      </c>
      <c r="I66" s="15">
        <f>'Fritzøe - budsj 2020'!I75+'Fritzøe - budsjett service'!I67</f>
        <v>4507</v>
      </c>
      <c r="J66" s="15">
        <f>'Fritzøe - budsj 2020'!J75+'Fritzøe - budsjett service'!J67</f>
        <v>4507</v>
      </c>
      <c r="K66" s="15">
        <f>'Fritzøe - budsj 2020'!K75+'Fritzøe - budsjett service'!K67</f>
        <v>4507</v>
      </c>
      <c r="L66" s="15">
        <f>'Fritzøe - budsj 2020'!L75+'Fritzøe - budsjett service'!L67</f>
        <v>4507</v>
      </c>
      <c r="M66" s="15">
        <f>'Fritzøe - budsj 2020'!M75+'Fritzøe - budsjett service'!M67</f>
        <v>4507</v>
      </c>
      <c r="N66" s="15">
        <f>'Fritzøe - budsj 2020'!N75+'Fritzøe - budsjett service'!N67</f>
        <v>4507</v>
      </c>
      <c r="O66" s="15">
        <f>'Fritzøe - budsj 2020'!O75+'Fritzøe - budsjett service'!O67</f>
        <v>4507</v>
      </c>
      <c r="P66" s="15">
        <f t="shared" si="13"/>
        <v>54084</v>
      </c>
    </row>
    <row r="67" spans="1:16" x14ac:dyDescent="0.3">
      <c r="A67" s="22">
        <v>6442</v>
      </c>
      <c r="B67" s="43" t="s">
        <v>147</v>
      </c>
      <c r="C67" s="14" t="e">
        <f t="shared" si="14"/>
        <v>#REF!</v>
      </c>
      <c r="D67" s="15" t="e">
        <f>'Fritzøe - budsj 2020'!#REF!+'Fritzøe - budsjett service'!D68</f>
        <v>#REF!</v>
      </c>
      <c r="E67" s="15" t="e">
        <f>'Fritzøe - budsj 2020'!#REF!+'Fritzøe - budsjett service'!E68</f>
        <v>#REF!</v>
      </c>
      <c r="F67" s="15" t="e">
        <f>'Fritzøe - budsj 2020'!#REF!+'Fritzøe - budsjett service'!F68</f>
        <v>#REF!</v>
      </c>
      <c r="G67" s="15" t="e">
        <f>'Fritzøe - budsj 2020'!#REF!+'Fritzøe - budsjett service'!G68</f>
        <v>#REF!</v>
      </c>
      <c r="H67" s="15" t="e">
        <f>'Fritzøe - budsj 2020'!#REF!+'Fritzøe - budsjett service'!H68</f>
        <v>#REF!</v>
      </c>
      <c r="I67" s="15" t="e">
        <f>'Fritzøe - budsj 2020'!#REF!+'Fritzøe - budsjett service'!I68</f>
        <v>#REF!</v>
      </c>
      <c r="J67" s="15" t="e">
        <f>'Fritzøe - budsj 2020'!#REF!+'Fritzøe - budsjett service'!J68</f>
        <v>#REF!</v>
      </c>
      <c r="K67" s="15" t="e">
        <f>'Fritzøe - budsj 2020'!#REF!+'Fritzøe - budsjett service'!K68</f>
        <v>#REF!</v>
      </c>
      <c r="L67" s="15" t="e">
        <f>'Fritzøe - budsj 2020'!#REF!+'Fritzøe - budsjett service'!L68</f>
        <v>#REF!</v>
      </c>
      <c r="M67" s="15" t="e">
        <f>'Fritzøe - budsj 2020'!#REF!+'Fritzøe - budsjett service'!M68</f>
        <v>#REF!</v>
      </c>
      <c r="N67" s="15" t="e">
        <f>'Fritzøe - budsj 2020'!#REF!+'Fritzøe - budsjett service'!N68</f>
        <v>#REF!</v>
      </c>
      <c r="O67" s="15" t="e">
        <f>'Fritzøe - budsj 2020'!#REF!+'Fritzøe - budsjett service'!O68</f>
        <v>#REF!</v>
      </c>
      <c r="P67" s="15" t="e">
        <f t="shared" si="13"/>
        <v>#REF!</v>
      </c>
    </row>
    <row r="68" spans="1:16" x14ac:dyDescent="0.3">
      <c r="A68" s="22">
        <v>6444</v>
      </c>
      <c r="B68" s="43" t="s">
        <v>148</v>
      </c>
      <c r="C68" s="14" t="e">
        <f>P68/$P$7</f>
        <v>#REF!</v>
      </c>
      <c r="D68" s="15" t="e">
        <f>'Fritzøe - budsj 2020'!#REF!+'Fritzøe - budsjett service'!D69</f>
        <v>#REF!</v>
      </c>
      <c r="E68" s="15" t="e">
        <f>'Fritzøe - budsj 2020'!#REF!+'Fritzøe - budsjett service'!E69</f>
        <v>#REF!</v>
      </c>
      <c r="F68" s="15" t="e">
        <f>'Fritzøe - budsj 2020'!#REF!+'Fritzøe - budsjett service'!F69</f>
        <v>#REF!</v>
      </c>
      <c r="G68" s="15" t="e">
        <f>'Fritzøe - budsj 2020'!#REF!+'Fritzøe - budsjett service'!G69</f>
        <v>#REF!</v>
      </c>
      <c r="H68" s="15" t="e">
        <f>'Fritzøe - budsj 2020'!#REF!+'Fritzøe - budsjett service'!H69</f>
        <v>#REF!</v>
      </c>
      <c r="I68" s="15" t="e">
        <f>'Fritzøe - budsj 2020'!#REF!+'Fritzøe - budsjett service'!I69</f>
        <v>#REF!</v>
      </c>
      <c r="J68" s="15" t="e">
        <f>'Fritzøe - budsj 2020'!#REF!+'Fritzøe - budsjett service'!J69</f>
        <v>#REF!</v>
      </c>
      <c r="K68" s="15" t="e">
        <f>'Fritzøe - budsj 2020'!#REF!+'Fritzøe - budsjett service'!K69</f>
        <v>#REF!</v>
      </c>
      <c r="L68" s="15" t="e">
        <f>'Fritzøe - budsj 2020'!#REF!+'Fritzøe - budsjett service'!L69</f>
        <v>#REF!</v>
      </c>
      <c r="M68" s="15" t="e">
        <f>'Fritzøe - budsj 2020'!#REF!+'Fritzøe - budsjett service'!M69</f>
        <v>#REF!</v>
      </c>
      <c r="N68" s="15" t="e">
        <f>'Fritzøe - budsj 2020'!#REF!+'Fritzøe - budsjett service'!N69</f>
        <v>#REF!</v>
      </c>
      <c r="O68" s="15" t="e">
        <f>'Fritzøe - budsj 2020'!#REF!+'Fritzøe - budsjett service'!O69</f>
        <v>#REF!</v>
      </c>
      <c r="P68" s="15" t="e">
        <f t="shared" si="13"/>
        <v>#REF!</v>
      </c>
    </row>
    <row r="69" spans="1:16" x14ac:dyDescent="0.3">
      <c r="A69" s="22">
        <v>6445</v>
      </c>
      <c r="B69" s="43" t="s">
        <v>149</v>
      </c>
      <c r="C69" s="14" t="e">
        <f t="shared" si="14"/>
        <v>#REF!</v>
      </c>
      <c r="D69" s="15" t="e">
        <f>'Fritzøe - budsj 2020'!#REF!+'Fritzøe - budsjett service'!D70</f>
        <v>#REF!</v>
      </c>
      <c r="E69" s="15" t="e">
        <f>'Fritzøe - budsj 2020'!#REF!+'Fritzøe - budsjett service'!E70</f>
        <v>#REF!</v>
      </c>
      <c r="F69" s="15" t="e">
        <f>'Fritzøe - budsj 2020'!#REF!+'Fritzøe - budsjett service'!F70</f>
        <v>#REF!</v>
      </c>
      <c r="G69" s="15" t="e">
        <f>'Fritzøe - budsj 2020'!#REF!+'Fritzøe - budsjett service'!G70</f>
        <v>#REF!</v>
      </c>
      <c r="H69" s="15" t="e">
        <f>'Fritzøe - budsj 2020'!#REF!+'Fritzøe - budsjett service'!H70</f>
        <v>#REF!</v>
      </c>
      <c r="I69" s="15" t="e">
        <f>'Fritzøe - budsj 2020'!#REF!+'Fritzøe - budsjett service'!I70</f>
        <v>#REF!</v>
      </c>
      <c r="J69" s="15" t="e">
        <f>'Fritzøe - budsj 2020'!#REF!+'Fritzøe - budsjett service'!J70</f>
        <v>#REF!</v>
      </c>
      <c r="K69" s="15" t="e">
        <f>'Fritzøe - budsj 2020'!#REF!+'Fritzøe - budsjett service'!K70</f>
        <v>#REF!</v>
      </c>
      <c r="L69" s="15" t="e">
        <f>'Fritzøe - budsj 2020'!#REF!+'Fritzøe - budsjett service'!L70</f>
        <v>#REF!</v>
      </c>
      <c r="M69" s="15" t="e">
        <f>'Fritzøe - budsj 2020'!#REF!+'Fritzøe - budsjett service'!M70</f>
        <v>#REF!</v>
      </c>
      <c r="N69" s="15" t="e">
        <f>'Fritzøe - budsj 2020'!#REF!+'Fritzøe - budsjett service'!N70</f>
        <v>#REF!</v>
      </c>
      <c r="O69" s="15" t="e">
        <f>'Fritzøe - budsj 2020'!#REF!+'Fritzøe - budsjett service'!O70</f>
        <v>#REF!</v>
      </c>
      <c r="P69" s="15" t="e">
        <f t="shared" si="13"/>
        <v>#REF!</v>
      </c>
    </row>
    <row r="70" spans="1:16" x14ac:dyDescent="0.3">
      <c r="A70" s="22">
        <v>6446</v>
      </c>
      <c r="B70" s="43" t="s">
        <v>150</v>
      </c>
      <c r="C70" s="14" t="e">
        <f t="shared" si="14"/>
        <v>#REF!</v>
      </c>
      <c r="D70" s="15" t="e">
        <f>'Fritzøe - budsj 2020'!#REF!+'Fritzøe - budsjett service'!D71</f>
        <v>#REF!</v>
      </c>
      <c r="E70" s="15" t="e">
        <f>'Fritzøe - budsj 2020'!#REF!+'Fritzøe - budsjett service'!E71</f>
        <v>#REF!</v>
      </c>
      <c r="F70" s="15" t="e">
        <f>'Fritzøe - budsj 2020'!#REF!+'Fritzøe - budsjett service'!F71</f>
        <v>#REF!</v>
      </c>
      <c r="G70" s="15" t="e">
        <f>'Fritzøe - budsj 2020'!#REF!+'Fritzøe - budsjett service'!G71</f>
        <v>#REF!</v>
      </c>
      <c r="H70" s="15" t="e">
        <f>'Fritzøe - budsj 2020'!#REF!+'Fritzøe - budsjett service'!H71</f>
        <v>#REF!</v>
      </c>
      <c r="I70" s="15" t="e">
        <f>'Fritzøe - budsj 2020'!#REF!+'Fritzøe - budsjett service'!I71</f>
        <v>#REF!</v>
      </c>
      <c r="J70" s="15" t="e">
        <f>'Fritzøe - budsj 2020'!#REF!+'Fritzøe - budsjett service'!J71</f>
        <v>#REF!</v>
      </c>
      <c r="K70" s="15" t="e">
        <f>'Fritzøe - budsj 2020'!#REF!+'Fritzøe - budsjett service'!K71</f>
        <v>#REF!</v>
      </c>
      <c r="L70" s="15" t="e">
        <f>'Fritzøe - budsj 2020'!#REF!+'Fritzøe - budsjett service'!L71</f>
        <v>#REF!</v>
      </c>
      <c r="M70" s="15" t="e">
        <f>'Fritzøe - budsj 2020'!#REF!+'Fritzøe - budsjett service'!M71</f>
        <v>#REF!</v>
      </c>
      <c r="N70" s="15" t="e">
        <f>'Fritzøe - budsj 2020'!#REF!+'Fritzøe - budsjett service'!N71</f>
        <v>#REF!</v>
      </c>
      <c r="O70" s="15" t="e">
        <f>'Fritzøe - budsj 2020'!#REF!+'Fritzøe - budsjett service'!O71</f>
        <v>#REF!</v>
      </c>
      <c r="P70" s="15" t="e">
        <f t="shared" si="13"/>
        <v>#REF!</v>
      </c>
    </row>
    <row r="71" spans="1:16" x14ac:dyDescent="0.3">
      <c r="A71" s="22">
        <v>6447</v>
      </c>
      <c r="B71" s="43" t="s">
        <v>151</v>
      </c>
      <c r="C71" s="14" t="e">
        <f t="shared" si="14"/>
        <v>#REF!</v>
      </c>
      <c r="D71" s="15" t="e">
        <f>'Fritzøe - budsj 2020'!#REF!+'Fritzøe - budsjett service'!D72</f>
        <v>#REF!</v>
      </c>
      <c r="E71" s="15" t="e">
        <f>'Fritzøe - budsj 2020'!#REF!+'Fritzøe - budsjett service'!E72</f>
        <v>#REF!</v>
      </c>
      <c r="F71" s="15" t="e">
        <f>'Fritzøe - budsj 2020'!#REF!+'Fritzøe - budsjett service'!F72</f>
        <v>#REF!</v>
      </c>
      <c r="G71" s="15" t="e">
        <f>'Fritzøe - budsj 2020'!#REF!+'Fritzøe - budsjett service'!G72</f>
        <v>#REF!</v>
      </c>
      <c r="H71" s="15" t="e">
        <f>'Fritzøe - budsj 2020'!#REF!+'Fritzøe - budsjett service'!H72</f>
        <v>#REF!</v>
      </c>
      <c r="I71" s="15" t="e">
        <f>'Fritzøe - budsj 2020'!#REF!+'Fritzøe - budsjett service'!I72</f>
        <v>#REF!</v>
      </c>
      <c r="J71" s="15" t="e">
        <f>'Fritzøe - budsj 2020'!#REF!+'Fritzøe - budsjett service'!J72</f>
        <v>#REF!</v>
      </c>
      <c r="K71" s="15" t="e">
        <f>'Fritzøe - budsj 2020'!#REF!+'Fritzøe - budsjett service'!K72</f>
        <v>#REF!</v>
      </c>
      <c r="L71" s="15" t="e">
        <f>'Fritzøe - budsj 2020'!#REF!+'Fritzøe - budsjett service'!L72</f>
        <v>#REF!</v>
      </c>
      <c r="M71" s="15" t="e">
        <f>'Fritzøe - budsj 2020'!#REF!+'Fritzøe - budsjett service'!M72</f>
        <v>#REF!</v>
      </c>
      <c r="N71" s="15" t="e">
        <f>'Fritzøe - budsj 2020'!#REF!+'Fritzøe - budsjett service'!N72</f>
        <v>#REF!</v>
      </c>
      <c r="O71" s="15" t="e">
        <f>'Fritzøe - budsj 2020'!#REF!+'Fritzøe - budsjett service'!O72</f>
        <v>#REF!</v>
      </c>
      <c r="P71" s="15" t="e">
        <f t="shared" si="13"/>
        <v>#REF!</v>
      </c>
    </row>
    <row r="72" spans="1:16" x14ac:dyDescent="0.3">
      <c r="A72" s="22">
        <v>6448</v>
      </c>
      <c r="B72" s="43" t="s">
        <v>152</v>
      </c>
      <c r="C72" s="14" t="e">
        <f t="shared" si="14"/>
        <v>#REF!</v>
      </c>
      <c r="D72" s="15" t="e">
        <f>'Fritzøe - budsj 2020'!#REF!+'Fritzøe - budsjett service'!D73</f>
        <v>#REF!</v>
      </c>
      <c r="E72" s="15" t="e">
        <f>'Fritzøe - budsj 2020'!#REF!+'Fritzøe - budsjett service'!E73</f>
        <v>#REF!</v>
      </c>
      <c r="F72" s="15" t="e">
        <f>'Fritzøe - budsj 2020'!#REF!+'Fritzøe - budsjett service'!F73</f>
        <v>#REF!</v>
      </c>
      <c r="G72" s="15" t="e">
        <f>'Fritzøe - budsj 2020'!#REF!+'Fritzøe - budsjett service'!G73</f>
        <v>#REF!</v>
      </c>
      <c r="H72" s="15" t="e">
        <f>'Fritzøe - budsj 2020'!#REF!+'Fritzøe - budsjett service'!H73</f>
        <v>#REF!</v>
      </c>
      <c r="I72" s="15" t="e">
        <f>'Fritzøe - budsj 2020'!#REF!+'Fritzøe - budsjett service'!I73</f>
        <v>#REF!</v>
      </c>
      <c r="J72" s="15" t="e">
        <f>'Fritzøe - budsj 2020'!#REF!+'Fritzøe - budsjett service'!J73</f>
        <v>#REF!</v>
      </c>
      <c r="K72" s="15" t="e">
        <f>'Fritzøe - budsj 2020'!#REF!+'Fritzøe - budsjett service'!K73</f>
        <v>#REF!</v>
      </c>
      <c r="L72" s="15" t="e">
        <f>'Fritzøe - budsj 2020'!#REF!+'Fritzøe - budsjett service'!L73</f>
        <v>#REF!</v>
      </c>
      <c r="M72" s="15" t="e">
        <f>'Fritzøe - budsj 2020'!#REF!+'Fritzøe - budsjett service'!M73</f>
        <v>#REF!</v>
      </c>
      <c r="N72" s="15" t="e">
        <f>'Fritzøe - budsj 2020'!#REF!+'Fritzøe - budsjett service'!N73</f>
        <v>#REF!</v>
      </c>
      <c r="O72" s="15" t="e">
        <f>'Fritzøe - budsj 2020'!#REF!+'Fritzøe - budsjett service'!O73</f>
        <v>#REF!</v>
      </c>
      <c r="P72" s="15" t="e">
        <f t="shared" si="13"/>
        <v>#REF!</v>
      </c>
    </row>
    <row r="73" spans="1:16" x14ac:dyDescent="0.3">
      <c r="A73" s="22">
        <v>6449</v>
      </c>
      <c r="B73" s="43" t="s">
        <v>190</v>
      </c>
      <c r="C73" s="14">
        <f t="shared" si="14"/>
        <v>1.8090776467117676E-3</v>
      </c>
      <c r="D73" s="15">
        <f>'Fritzøe - budsj 2020'!D76+'Fritzøe - budsjett service'!D74</f>
        <v>8517</v>
      </c>
      <c r="E73" s="15">
        <f>'Fritzøe - budsj 2020'!E76+'Fritzøe - budsjett service'!E74</f>
        <v>8517</v>
      </c>
      <c r="F73" s="15">
        <f>'Fritzøe - budsj 2020'!F76+'Fritzøe - budsjett service'!F74</f>
        <v>8517</v>
      </c>
      <c r="G73" s="15">
        <f>'Fritzøe - budsj 2020'!G76+'Fritzøe - budsjett service'!G74</f>
        <v>8517</v>
      </c>
      <c r="H73" s="15">
        <f>'Fritzøe - budsj 2020'!H76+'Fritzøe - budsjett service'!H74</f>
        <v>8517</v>
      </c>
      <c r="I73" s="15">
        <f>'Fritzøe - budsj 2020'!I76+'Fritzøe - budsjett service'!I74</f>
        <v>8517</v>
      </c>
      <c r="J73" s="15">
        <f>'Fritzøe - budsj 2020'!J76+'Fritzøe - budsjett service'!J74</f>
        <v>8517</v>
      </c>
      <c r="K73" s="15">
        <f>'Fritzøe - budsj 2020'!K76+'Fritzøe - budsjett service'!K74</f>
        <v>8517</v>
      </c>
      <c r="L73" s="15">
        <f>'Fritzøe - budsj 2020'!L76+'Fritzøe - budsjett service'!L74</f>
        <v>8517</v>
      </c>
      <c r="M73" s="15">
        <f>'Fritzøe - budsj 2020'!M76+'Fritzøe - budsjett service'!M74</f>
        <v>8517</v>
      </c>
      <c r="N73" s="15">
        <f>'Fritzøe - budsj 2020'!N76+'Fritzøe - budsjett service'!N74</f>
        <v>8517</v>
      </c>
      <c r="O73" s="15">
        <f>'Fritzøe - budsj 2020'!O76+'Fritzøe - budsjett service'!O74</f>
        <v>8517</v>
      </c>
      <c r="P73" s="15">
        <f t="shared" si="13"/>
        <v>102204</v>
      </c>
    </row>
    <row r="74" spans="1:16" x14ac:dyDescent="0.3">
      <c r="A74" s="22">
        <v>6450</v>
      </c>
      <c r="B74" s="43" t="s">
        <v>191</v>
      </c>
      <c r="C74" s="14">
        <f t="shared" si="14"/>
        <v>9.1696468250025839E-4</v>
      </c>
      <c r="D74" s="15">
        <f>'Fritzøe - budsj 2020'!D77+'Fritzøe - budsjett service'!D75</f>
        <v>4317</v>
      </c>
      <c r="E74" s="15">
        <f>'Fritzøe - budsj 2020'!E77+'Fritzøe - budsjett service'!E75</f>
        <v>4317</v>
      </c>
      <c r="F74" s="15">
        <f>'Fritzøe - budsj 2020'!F77+'Fritzøe - budsjett service'!F75</f>
        <v>4317</v>
      </c>
      <c r="G74" s="15">
        <f>'Fritzøe - budsj 2020'!G77+'Fritzøe - budsjett service'!G75</f>
        <v>4317</v>
      </c>
      <c r="H74" s="15">
        <f>'Fritzøe - budsj 2020'!H77+'Fritzøe - budsjett service'!H75</f>
        <v>4317</v>
      </c>
      <c r="I74" s="15">
        <f>'Fritzøe - budsj 2020'!I77+'Fritzøe - budsjett service'!I75</f>
        <v>4317</v>
      </c>
      <c r="J74" s="15">
        <f>'Fritzøe - budsj 2020'!J77+'Fritzøe - budsjett service'!J75</f>
        <v>4317</v>
      </c>
      <c r="K74" s="15">
        <f>'Fritzøe - budsj 2020'!K77+'Fritzøe - budsjett service'!K75</f>
        <v>4317</v>
      </c>
      <c r="L74" s="15">
        <f>'Fritzøe - budsj 2020'!L77+'Fritzøe - budsjett service'!L75</f>
        <v>4317</v>
      </c>
      <c r="M74" s="15">
        <f>'Fritzøe - budsj 2020'!M77+'Fritzøe - budsjett service'!M75</f>
        <v>4317</v>
      </c>
      <c r="N74" s="15">
        <f>'Fritzøe - budsj 2020'!N77+'Fritzøe - budsjett service'!N75</f>
        <v>4317</v>
      </c>
      <c r="O74" s="15">
        <f>'Fritzøe - budsj 2020'!O77+'Fritzøe - budsjett service'!O75</f>
        <v>4317</v>
      </c>
      <c r="P74" s="15">
        <f t="shared" si="13"/>
        <v>51804</v>
      </c>
    </row>
    <row r="75" spans="1:16" x14ac:dyDescent="0.3">
      <c r="A75" s="22">
        <v>6490</v>
      </c>
      <c r="B75" s="43" t="s">
        <v>153</v>
      </c>
      <c r="C75" s="14" t="e">
        <f t="shared" si="14"/>
        <v>#REF!</v>
      </c>
      <c r="D75" s="15" t="e">
        <f>'Fritzøe - budsj 2020'!#REF!+'Fritzøe - budsjett service'!D76</f>
        <v>#REF!</v>
      </c>
      <c r="E75" s="15" t="e">
        <f>'Fritzøe - budsj 2020'!#REF!+'Fritzøe - budsjett service'!E76</f>
        <v>#REF!</v>
      </c>
      <c r="F75" s="15" t="e">
        <f>'Fritzøe - budsj 2020'!#REF!+'Fritzøe - budsjett service'!F76</f>
        <v>#REF!</v>
      </c>
      <c r="G75" s="15" t="e">
        <f>'Fritzøe - budsj 2020'!#REF!+'Fritzøe - budsjett service'!G76</f>
        <v>#REF!</v>
      </c>
      <c r="H75" s="15" t="e">
        <f>'Fritzøe - budsj 2020'!#REF!+'Fritzøe - budsjett service'!H76</f>
        <v>#REF!</v>
      </c>
      <c r="I75" s="15" t="e">
        <f>'Fritzøe - budsj 2020'!#REF!+'Fritzøe - budsjett service'!I76</f>
        <v>#REF!</v>
      </c>
      <c r="J75" s="15" t="e">
        <f>'Fritzøe - budsj 2020'!#REF!+'Fritzøe - budsjett service'!J76</f>
        <v>#REF!</v>
      </c>
      <c r="K75" s="15" t="e">
        <f>'Fritzøe - budsj 2020'!#REF!+'Fritzøe - budsjett service'!K76</f>
        <v>#REF!</v>
      </c>
      <c r="L75" s="15" t="e">
        <f>'Fritzøe - budsj 2020'!#REF!+'Fritzøe - budsjett service'!L76</f>
        <v>#REF!</v>
      </c>
      <c r="M75" s="15" t="e">
        <f>'Fritzøe - budsj 2020'!#REF!+'Fritzøe - budsjett service'!M76</f>
        <v>#REF!</v>
      </c>
      <c r="N75" s="15" t="e">
        <f>'Fritzøe - budsj 2020'!#REF!+'Fritzøe - budsjett service'!N76</f>
        <v>#REF!</v>
      </c>
      <c r="O75" s="15" t="e">
        <f>'Fritzøe - budsj 2020'!#REF!+'Fritzøe - budsjett service'!O76</f>
        <v>#REF!</v>
      </c>
      <c r="P75" s="15" t="e">
        <f t="shared" si="13"/>
        <v>#REF!</v>
      </c>
    </row>
    <row r="76" spans="1:16" x14ac:dyDescent="0.3">
      <c r="A76" s="22">
        <v>6418</v>
      </c>
      <c r="B76" s="43" t="s">
        <v>289</v>
      </c>
      <c r="C76" s="14" t="e">
        <f>P76/$P$7</f>
        <v>#REF!</v>
      </c>
      <c r="D76" s="15" t="e">
        <f>'Fritzøe - budsj 2020'!#REF!+'Fritzøe - budsjett service'!D77</f>
        <v>#REF!</v>
      </c>
      <c r="E76" s="15" t="e">
        <f>'Fritzøe - budsj 2020'!#REF!+'Fritzøe - budsjett service'!E77</f>
        <v>#REF!</v>
      </c>
      <c r="F76" s="15" t="e">
        <f>'Fritzøe - budsj 2020'!#REF!+'Fritzøe - budsjett service'!F77</f>
        <v>#REF!</v>
      </c>
      <c r="G76" s="15" t="e">
        <f>'Fritzøe - budsj 2020'!#REF!+'Fritzøe - budsjett service'!G77</f>
        <v>#REF!</v>
      </c>
      <c r="H76" s="15" t="e">
        <f>'Fritzøe - budsj 2020'!#REF!+'Fritzøe - budsjett service'!H77</f>
        <v>#REF!</v>
      </c>
      <c r="I76" s="15" t="e">
        <f>'Fritzøe - budsj 2020'!#REF!+'Fritzøe - budsjett service'!I77</f>
        <v>#REF!</v>
      </c>
      <c r="J76" s="15" t="e">
        <f>'Fritzøe - budsj 2020'!#REF!+'Fritzøe - budsjett service'!J77</f>
        <v>#REF!</v>
      </c>
      <c r="K76" s="15" t="e">
        <f>'Fritzøe - budsj 2020'!#REF!+'Fritzøe - budsjett service'!K77</f>
        <v>#REF!</v>
      </c>
      <c r="L76" s="15" t="e">
        <f>'Fritzøe - budsj 2020'!#REF!+'Fritzøe - budsjett service'!L77</f>
        <v>#REF!</v>
      </c>
      <c r="M76" s="15" t="e">
        <f>'Fritzøe - budsj 2020'!#REF!+'Fritzøe - budsjett service'!M77</f>
        <v>#REF!</v>
      </c>
      <c r="N76" s="15" t="e">
        <f>'Fritzøe - budsj 2020'!#REF!+'Fritzøe - budsjett service'!N77</f>
        <v>#REF!</v>
      </c>
      <c r="O76" s="15" t="e">
        <f>'Fritzøe - budsj 2020'!#REF!+'Fritzøe - budsjett service'!O77</f>
        <v>#REF!</v>
      </c>
      <c r="P76" s="15" t="e">
        <f t="shared" si="13"/>
        <v>#REF!</v>
      </c>
    </row>
    <row r="77" spans="1:16" x14ac:dyDescent="0.3">
      <c r="A77" s="23"/>
      <c r="B77" s="20" t="s">
        <v>75</v>
      </c>
      <c r="C77" s="26" t="e">
        <f t="shared" si="14"/>
        <v>#REF!</v>
      </c>
      <c r="D77" s="17" t="e">
        <f>SUM(D64:D76)</f>
        <v>#REF!</v>
      </c>
      <c r="E77" s="17" t="e">
        <f t="shared" ref="E77:O77" si="15">SUM(E64:E76)</f>
        <v>#REF!</v>
      </c>
      <c r="F77" s="17" t="e">
        <f t="shared" si="15"/>
        <v>#REF!</v>
      </c>
      <c r="G77" s="17" t="e">
        <f t="shared" si="15"/>
        <v>#REF!</v>
      </c>
      <c r="H77" s="17" t="e">
        <f t="shared" si="15"/>
        <v>#REF!</v>
      </c>
      <c r="I77" s="17" t="e">
        <f t="shared" si="15"/>
        <v>#REF!</v>
      </c>
      <c r="J77" s="17" t="e">
        <f t="shared" si="15"/>
        <v>#REF!</v>
      </c>
      <c r="K77" s="17" t="e">
        <f t="shared" si="15"/>
        <v>#REF!</v>
      </c>
      <c r="L77" s="17" t="e">
        <f t="shared" si="15"/>
        <v>#REF!</v>
      </c>
      <c r="M77" s="17" t="e">
        <f t="shared" si="15"/>
        <v>#REF!</v>
      </c>
      <c r="N77" s="17" t="e">
        <f t="shared" si="15"/>
        <v>#REF!</v>
      </c>
      <c r="O77" s="17" t="e">
        <f t="shared" si="15"/>
        <v>#REF!</v>
      </c>
      <c r="P77" s="17" t="e">
        <f>SUM(P64:P76)</f>
        <v>#REF!</v>
      </c>
    </row>
    <row r="78" spans="1:16" x14ac:dyDescent="0.3">
      <c r="A78" s="23"/>
      <c r="B78" s="23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3">
      <c r="A79" s="23" t="s">
        <v>76</v>
      </c>
      <c r="B79" s="21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3">
      <c r="A80" s="22">
        <v>6510</v>
      </c>
      <c r="B80" s="43" t="s">
        <v>199</v>
      </c>
      <c r="C80" s="14">
        <f t="shared" ref="C80:C86" si="16">P80/$P$7</f>
        <v>4.9915844426120159E-3</v>
      </c>
      <c r="D80" s="15">
        <f>'Fritzøe - budsj 2020'!D82+'Fritzøe - budsjett service'!D81</f>
        <v>23500</v>
      </c>
      <c r="E80" s="15">
        <f>'Fritzøe - budsj 2020'!E82+'Fritzøe - budsjett service'!E81</f>
        <v>23500</v>
      </c>
      <c r="F80" s="15">
        <f>'Fritzøe - budsj 2020'!F82+'Fritzøe - budsjett service'!F81</f>
        <v>23500</v>
      </c>
      <c r="G80" s="15">
        <f>'Fritzøe - budsj 2020'!G82+'Fritzøe - budsjett service'!G81</f>
        <v>23500</v>
      </c>
      <c r="H80" s="15">
        <f>'Fritzøe - budsj 2020'!H82+'Fritzøe - budsjett service'!H81</f>
        <v>23500</v>
      </c>
      <c r="I80" s="15">
        <f>'Fritzøe - budsj 2020'!I82+'Fritzøe - budsjett service'!I81</f>
        <v>23500</v>
      </c>
      <c r="J80" s="15">
        <f>'Fritzøe - budsj 2020'!J82+'Fritzøe - budsjett service'!J81</f>
        <v>23500</v>
      </c>
      <c r="K80" s="15">
        <f>'Fritzøe - budsj 2020'!K82+'Fritzøe - budsjett service'!K81</f>
        <v>23500</v>
      </c>
      <c r="L80" s="15">
        <f>'Fritzøe - budsj 2020'!L82+'Fritzøe - budsjett service'!L81</f>
        <v>23500</v>
      </c>
      <c r="M80" s="15">
        <f>'Fritzøe - budsj 2020'!M82+'Fritzøe - budsjett service'!M81</f>
        <v>23500</v>
      </c>
      <c r="N80" s="15">
        <f>'Fritzøe - budsj 2020'!N82+'Fritzøe - budsjett service'!N81</f>
        <v>23500</v>
      </c>
      <c r="O80" s="15">
        <f>'Fritzøe - budsj 2020'!O82+'Fritzøe - budsjett service'!O81</f>
        <v>23500</v>
      </c>
      <c r="P80" s="15">
        <f t="shared" ref="P80:P85" si="17">SUM(D80:O80)</f>
        <v>282000</v>
      </c>
    </row>
    <row r="81" spans="1:255" x14ac:dyDescent="0.3">
      <c r="A81" s="22">
        <v>6540</v>
      </c>
      <c r="B81" s="43" t="s">
        <v>79</v>
      </c>
      <c r="C81" s="14">
        <f t="shared" si="16"/>
        <v>3.1861177293268184E-4</v>
      </c>
      <c r="D81" s="15">
        <f>'Fritzøe - budsj 2020'!D83+'Fritzøe - budsjett service'!D82</f>
        <v>1500</v>
      </c>
      <c r="E81" s="15">
        <f>'Fritzøe - budsj 2020'!E83+'Fritzøe - budsjett service'!E82</f>
        <v>1500</v>
      </c>
      <c r="F81" s="15">
        <f>'Fritzøe - budsj 2020'!F83+'Fritzøe - budsjett service'!F82</f>
        <v>1500</v>
      </c>
      <c r="G81" s="15">
        <f>'Fritzøe - budsj 2020'!G83+'Fritzøe - budsjett service'!G82</f>
        <v>1500</v>
      </c>
      <c r="H81" s="15">
        <f>'Fritzøe - budsj 2020'!H83+'Fritzøe - budsjett service'!H82</f>
        <v>1500</v>
      </c>
      <c r="I81" s="15">
        <f>'Fritzøe - budsj 2020'!I83+'Fritzøe - budsjett service'!I82</f>
        <v>1500</v>
      </c>
      <c r="J81" s="15">
        <f>'Fritzøe - budsj 2020'!J83+'Fritzøe - budsjett service'!J82</f>
        <v>1500</v>
      </c>
      <c r="K81" s="15">
        <f>'Fritzøe - budsj 2020'!K83+'Fritzøe - budsjett service'!K82</f>
        <v>1500</v>
      </c>
      <c r="L81" s="15">
        <f>'Fritzøe - budsj 2020'!L83+'Fritzøe - budsjett service'!L82</f>
        <v>1500</v>
      </c>
      <c r="M81" s="15">
        <f>'Fritzøe - budsj 2020'!M83+'Fritzøe - budsjett service'!M82</f>
        <v>1500</v>
      </c>
      <c r="N81" s="15">
        <f>'Fritzøe - budsj 2020'!N83+'Fritzøe - budsjett service'!N82</f>
        <v>1500</v>
      </c>
      <c r="O81" s="15">
        <f>'Fritzøe - budsj 2020'!O83+'Fritzøe - budsjett service'!O82</f>
        <v>1500</v>
      </c>
      <c r="P81" s="15">
        <f t="shared" si="17"/>
        <v>18000</v>
      </c>
    </row>
    <row r="82" spans="1:255" x14ac:dyDescent="0.3">
      <c r="A82" s="22">
        <v>6541</v>
      </c>
      <c r="B82" s="43" t="s">
        <v>201</v>
      </c>
      <c r="C82" s="14">
        <f t="shared" si="16"/>
        <v>7.4342747017625758E-4</v>
      </c>
      <c r="D82" s="15">
        <f>'Fritzøe - budsj 2020'!D84+'Fritzøe - budsjett service'!D83</f>
        <v>3500</v>
      </c>
      <c r="E82" s="15">
        <f>'Fritzøe - budsj 2020'!E84+'Fritzøe - budsjett service'!E83</f>
        <v>3500</v>
      </c>
      <c r="F82" s="15">
        <f>'Fritzøe - budsj 2020'!F84+'Fritzøe - budsjett service'!F83</f>
        <v>3500</v>
      </c>
      <c r="G82" s="15">
        <f>'Fritzøe - budsj 2020'!G84+'Fritzøe - budsjett service'!G83</f>
        <v>3500</v>
      </c>
      <c r="H82" s="15">
        <f>'Fritzøe - budsj 2020'!H84+'Fritzøe - budsjett service'!H83</f>
        <v>3500</v>
      </c>
      <c r="I82" s="15">
        <f>'Fritzøe - budsj 2020'!I84+'Fritzøe - budsjett service'!I83</f>
        <v>3500</v>
      </c>
      <c r="J82" s="15">
        <f>'Fritzøe - budsj 2020'!J84+'Fritzøe - budsjett service'!J83</f>
        <v>3500</v>
      </c>
      <c r="K82" s="15">
        <f>'Fritzøe - budsj 2020'!K84+'Fritzøe - budsjett service'!K83</f>
        <v>3500</v>
      </c>
      <c r="L82" s="15">
        <f>'Fritzøe - budsj 2020'!L84+'Fritzøe - budsjett service'!L83</f>
        <v>3500</v>
      </c>
      <c r="M82" s="15">
        <f>'Fritzøe - budsj 2020'!M84+'Fritzøe - budsjett service'!M83</f>
        <v>3500</v>
      </c>
      <c r="N82" s="15">
        <f>'Fritzøe - budsj 2020'!N84+'Fritzøe - budsjett service'!N83</f>
        <v>3500</v>
      </c>
      <c r="O82" s="15">
        <f>'Fritzøe - budsj 2020'!O84+'Fritzøe - budsjett service'!O83</f>
        <v>3500</v>
      </c>
      <c r="P82" s="15">
        <f t="shared" si="17"/>
        <v>42000</v>
      </c>
    </row>
    <row r="83" spans="1:255" x14ac:dyDescent="0.3">
      <c r="A83" s="22">
        <v>6553</v>
      </c>
      <c r="B83" s="43" t="s">
        <v>202</v>
      </c>
      <c r="C83" s="14">
        <f t="shared" si="16"/>
        <v>2.7613020320832425E-3</v>
      </c>
      <c r="D83" s="15">
        <f>'Fritzøe - budsj 2020'!D85+'Fritzøe - budsjett service'!D84</f>
        <v>13000</v>
      </c>
      <c r="E83" s="15">
        <f>'Fritzøe - budsj 2020'!E85+'Fritzøe - budsjett service'!E84</f>
        <v>13000</v>
      </c>
      <c r="F83" s="15">
        <f>'Fritzøe - budsj 2020'!F85+'Fritzøe - budsjett service'!F84</f>
        <v>13000</v>
      </c>
      <c r="G83" s="15">
        <f>'Fritzøe - budsj 2020'!G85+'Fritzøe - budsjett service'!G84</f>
        <v>13000</v>
      </c>
      <c r="H83" s="15">
        <f>'Fritzøe - budsj 2020'!H85+'Fritzøe - budsjett service'!H84</f>
        <v>13000</v>
      </c>
      <c r="I83" s="15">
        <f>'Fritzøe - budsj 2020'!I85+'Fritzøe - budsjett service'!I84</f>
        <v>13000</v>
      </c>
      <c r="J83" s="15">
        <f>'Fritzøe - budsj 2020'!J85+'Fritzøe - budsjett service'!J84</f>
        <v>13000</v>
      </c>
      <c r="K83" s="15">
        <f>'Fritzøe - budsj 2020'!K85+'Fritzøe - budsjett service'!K84</f>
        <v>13000</v>
      </c>
      <c r="L83" s="15">
        <f>'Fritzøe - budsj 2020'!L85+'Fritzøe - budsjett service'!L84</f>
        <v>13000</v>
      </c>
      <c r="M83" s="15">
        <f>'Fritzøe - budsj 2020'!M85+'Fritzøe - budsjett service'!M84</f>
        <v>13000</v>
      </c>
      <c r="N83" s="15">
        <f>'Fritzøe - budsj 2020'!N85+'Fritzøe - budsjett service'!N84</f>
        <v>13000</v>
      </c>
      <c r="O83" s="15">
        <f>'Fritzøe - budsj 2020'!O85+'Fritzøe - budsjett service'!O84</f>
        <v>13000</v>
      </c>
      <c r="P83" s="15">
        <f t="shared" si="17"/>
        <v>156000</v>
      </c>
    </row>
    <row r="84" spans="1:255" x14ac:dyDescent="0.3">
      <c r="A84" s="22">
        <v>6570</v>
      </c>
      <c r="B84" s="43" t="s">
        <v>78</v>
      </c>
      <c r="C84" s="14">
        <f t="shared" si="16"/>
        <v>3.7171373508812881E-3</v>
      </c>
      <c r="D84" s="15">
        <f>'Fritzøe - budsj 2020'!D86+'Fritzøe - budsjett service'!D85</f>
        <v>17500</v>
      </c>
      <c r="E84" s="15">
        <f>'Fritzøe - budsj 2020'!E86+'Fritzøe - budsjett service'!E85</f>
        <v>17500</v>
      </c>
      <c r="F84" s="15">
        <f>'Fritzøe - budsj 2020'!F86+'Fritzøe - budsjett service'!F85</f>
        <v>17500</v>
      </c>
      <c r="G84" s="15">
        <f>'Fritzøe - budsj 2020'!G86+'Fritzøe - budsjett service'!G85</f>
        <v>17500</v>
      </c>
      <c r="H84" s="15">
        <f>'Fritzøe - budsj 2020'!H86+'Fritzøe - budsjett service'!H85</f>
        <v>17500</v>
      </c>
      <c r="I84" s="15">
        <f>'Fritzøe - budsj 2020'!I86+'Fritzøe - budsjett service'!I85</f>
        <v>17500</v>
      </c>
      <c r="J84" s="15">
        <f>'Fritzøe - budsj 2020'!J86+'Fritzøe - budsjett service'!J85</f>
        <v>17500</v>
      </c>
      <c r="K84" s="15">
        <f>'Fritzøe - budsj 2020'!K86+'Fritzøe - budsjett service'!K85</f>
        <v>17500</v>
      </c>
      <c r="L84" s="15">
        <f>'Fritzøe - budsj 2020'!L86+'Fritzøe - budsjett service'!L85</f>
        <v>17500</v>
      </c>
      <c r="M84" s="15">
        <f>'Fritzøe - budsj 2020'!M86+'Fritzøe - budsjett service'!M85</f>
        <v>17500</v>
      </c>
      <c r="N84" s="15">
        <f>'Fritzøe - budsj 2020'!N86+'Fritzøe - budsjett service'!N85</f>
        <v>17500</v>
      </c>
      <c r="O84" s="15">
        <f>'Fritzøe - budsj 2020'!O86+'Fritzøe - budsjett service'!O85</f>
        <v>17500</v>
      </c>
      <c r="P84" s="15">
        <f t="shared" si="17"/>
        <v>210000</v>
      </c>
    </row>
    <row r="85" spans="1:255" x14ac:dyDescent="0.3">
      <c r="A85" s="22">
        <v>6590</v>
      </c>
      <c r="B85" s="43" t="s">
        <v>154</v>
      </c>
      <c r="C85" s="14">
        <f>P85/$P$7</f>
        <v>4.248156972435758E-4</v>
      </c>
      <c r="D85" s="15">
        <f>'Fritzøe - budsj 2020'!D87+'Fritzøe - budsjett service'!D86</f>
        <v>2000</v>
      </c>
      <c r="E85" s="15">
        <f>'Fritzøe - budsj 2020'!E87+'Fritzøe - budsjett service'!E86</f>
        <v>2000</v>
      </c>
      <c r="F85" s="15">
        <f>'Fritzøe - budsj 2020'!F87+'Fritzøe - budsjett service'!F86</f>
        <v>2000</v>
      </c>
      <c r="G85" s="15">
        <f>'Fritzøe - budsj 2020'!G87+'Fritzøe - budsjett service'!G86</f>
        <v>2000</v>
      </c>
      <c r="H85" s="15">
        <f>'Fritzøe - budsj 2020'!H87+'Fritzøe - budsjett service'!H86</f>
        <v>2000</v>
      </c>
      <c r="I85" s="15">
        <f>'Fritzøe - budsj 2020'!I87+'Fritzøe - budsjett service'!I86</f>
        <v>2000</v>
      </c>
      <c r="J85" s="15">
        <f>'Fritzøe - budsj 2020'!J87+'Fritzøe - budsjett service'!J86</f>
        <v>2000</v>
      </c>
      <c r="K85" s="15">
        <f>'Fritzøe - budsj 2020'!K87+'Fritzøe - budsjett service'!K86</f>
        <v>2000</v>
      </c>
      <c r="L85" s="15">
        <f>'Fritzøe - budsj 2020'!L87+'Fritzøe - budsjett service'!L86</f>
        <v>2000</v>
      </c>
      <c r="M85" s="15">
        <f>'Fritzøe - budsj 2020'!M87+'Fritzøe - budsjett service'!M86</f>
        <v>2000</v>
      </c>
      <c r="N85" s="15">
        <f>'Fritzøe - budsj 2020'!N87+'Fritzøe - budsjett service'!N86</f>
        <v>2000</v>
      </c>
      <c r="O85" s="15">
        <f>'Fritzøe - budsj 2020'!O87+'Fritzøe - budsjett service'!O86</f>
        <v>2000</v>
      </c>
      <c r="P85" s="15">
        <f t="shared" si="17"/>
        <v>24000</v>
      </c>
    </row>
    <row r="86" spans="1:255" x14ac:dyDescent="0.3">
      <c r="A86" s="23"/>
      <c r="B86" s="20" t="s">
        <v>77</v>
      </c>
      <c r="C86" s="26">
        <f t="shared" si="16"/>
        <v>1.2956878765929061E-2</v>
      </c>
      <c r="D86" s="17">
        <f>SUM(D80:D85)</f>
        <v>61000</v>
      </c>
      <c r="E86" s="17">
        <f t="shared" ref="E86:O86" si="18">SUM(E80:E85)</f>
        <v>61000</v>
      </c>
      <c r="F86" s="17">
        <f t="shared" si="18"/>
        <v>61000</v>
      </c>
      <c r="G86" s="17">
        <f t="shared" si="18"/>
        <v>61000</v>
      </c>
      <c r="H86" s="17">
        <f t="shared" si="18"/>
        <v>61000</v>
      </c>
      <c r="I86" s="17">
        <f t="shared" si="18"/>
        <v>61000</v>
      </c>
      <c r="J86" s="17">
        <f t="shared" si="18"/>
        <v>61000</v>
      </c>
      <c r="K86" s="17">
        <f t="shared" si="18"/>
        <v>61000</v>
      </c>
      <c r="L86" s="17">
        <f t="shared" si="18"/>
        <v>61000</v>
      </c>
      <c r="M86" s="17">
        <f t="shared" si="18"/>
        <v>61000</v>
      </c>
      <c r="N86" s="17">
        <f t="shared" si="18"/>
        <v>61000</v>
      </c>
      <c r="O86" s="17">
        <f t="shared" si="18"/>
        <v>61000</v>
      </c>
      <c r="P86" s="17">
        <f>SUM(P80:P85)</f>
        <v>732000</v>
      </c>
    </row>
    <row r="87" spans="1:255" x14ac:dyDescent="0.3">
      <c r="A87" s="23"/>
      <c r="B87" s="23"/>
      <c r="C87" s="14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255" x14ac:dyDescent="0.3">
      <c r="A88" s="23" t="s">
        <v>80</v>
      </c>
      <c r="B88" s="21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255" x14ac:dyDescent="0.3">
      <c r="A89" s="22">
        <v>6620</v>
      </c>
      <c r="B89" s="43" t="s">
        <v>13</v>
      </c>
      <c r="C89" s="14">
        <f>P89/$P$7</f>
        <v>7.4342747017625758E-4</v>
      </c>
      <c r="D89" s="15">
        <f>'Fritzøe - budsj 2020'!D91+'Fritzøe - budsjett service'!D90</f>
        <v>3500</v>
      </c>
      <c r="E89" s="15">
        <f>'Fritzøe - budsj 2020'!E91+'Fritzøe - budsjett service'!E90</f>
        <v>3500</v>
      </c>
      <c r="F89" s="15">
        <f>'Fritzøe - budsj 2020'!F91+'Fritzøe - budsjett service'!F90</f>
        <v>3500</v>
      </c>
      <c r="G89" s="15">
        <f>'Fritzøe - budsj 2020'!G91+'Fritzøe - budsjett service'!G90</f>
        <v>3500</v>
      </c>
      <c r="H89" s="15">
        <f>'Fritzøe - budsj 2020'!H91+'Fritzøe - budsjett service'!H90</f>
        <v>3500</v>
      </c>
      <c r="I89" s="15">
        <f>'Fritzøe - budsj 2020'!I91+'Fritzøe - budsjett service'!I90</f>
        <v>3500</v>
      </c>
      <c r="J89" s="15">
        <f>'Fritzøe - budsj 2020'!J91+'Fritzøe - budsjett service'!J90</f>
        <v>3500</v>
      </c>
      <c r="K89" s="15">
        <f>'Fritzøe - budsj 2020'!K91+'Fritzøe - budsjett service'!K90</f>
        <v>3500</v>
      </c>
      <c r="L89" s="15">
        <f>'Fritzøe - budsj 2020'!L91+'Fritzøe - budsjett service'!L90</f>
        <v>3500</v>
      </c>
      <c r="M89" s="15">
        <f>'Fritzøe - budsj 2020'!M91+'Fritzøe - budsjett service'!M90</f>
        <v>3500</v>
      </c>
      <c r="N89" s="15">
        <f>'Fritzøe - budsj 2020'!N91+'Fritzøe - budsjett service'!N90</f>
        <v>3500</v>
      </c>
      <c r="O89" s="15">
        <f>'Fritzøe - budsj 2020'!O91+'Fritzøe - budsjett service'!O90</f>
        <v>3500</v>
      </c>
      <c r="P89" s="15">
        <f>SUM(D89:O89)</f>
        <v>42000</v>
      </c>
    </row>
    <row r="90" spans="1:255" x14ac:dyDescent="0.3">
      <c r="A90" s="23"/>
      <c r="B90" s="20" t="s">
        <v>81</v>
      </c>
      <c r="C90" s="26">
        <f>P90/$P$7</f>
        <v>7.4342747017625758E-4</v>
      </c>
      <c r="D90" s="17">
        <f>SUM(D89)</f>
        <v>3500</v>
      </c>
      <c r="E90" s="17">
        <f t="shared" ref="E90:O90" si="19">SUM(E89)</f>
        <v>3500</v>
      </c>
      <c r="F90" s="17">
        <f t="shared" si="19"/>
        <v>3500</v>
      </c>
      <c r="G90" s="17">
        <f t="shared" si="19"/>
        <v>3500</v>
      </c>
      <c r="H90" s="17">
        <f t="shared" si="19"/>
        <v>3500</v>
      </c>
      <c r="I90" s="17">
        <f t="shared" si="19"/>
        <v>3500</v>
      </c>
      <c r="J90" s="17">
        <f t="shared" si="19"/>
        <v>3500</v>
      </c>
      <c r="K90" s="17">
        <f t="shared" si="19"/>
        <v>3500</v>
      </c>
      <c r="L90" s="17">
        <f t="shared" si="19"/>
        <v>3500</v>
      </c>
      <c r="M90" s="17">
        <f t="shared" si="19"/>
        <v>3500</v>
      </c>
      <c r="N90" s="17">
        <f t="shared" si="19"/>
        <v>3500</v>
      </c>
      <c r="O90" s="17">
        <f t="shared" si="19"/>
        <v>3500</v>
      </c>
      <c r="P90" s="17">
        <f>SUM(P89)</f>
        <v>42000</v>
      </c>
    </row>
    <row r="91" spans="1:255" x14ac:dyDescent="0.3">
      <c r="A91" s="23"/>
      <c r="B91" s="23"/>
      <c r="C91" s="14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255" x14ac:dyDescent="0.3">
      <c r="A92" s="23" t="s">
        <v>83</v>
      </c>
      <c r="B92" s="23"/>
      <c r="C92" s="14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255" x14ac:dyDescent="0.3">
      <c r="A93" s="22">
        <v>6700</v>
      </c>
      <c r="B93" s="21" t="s">
        <v>14</v>
      </c>
      <c r="C93" s="14">
        <f>P93/$P$7</f>
        <v>1.210724737144191E-3</v>
      </c>
      <c r="D93" s="15">
        <f>'Fritzøe - budsj 2020'!D95+'Fritzøe - budsjett service'!D94</f>
        <v>5700</v>
      </c>
      <c r="E93" s="15">
        <f>'Fritzøe - budsj 2020'!E95+'Fritzøe - budsjett service'!E94</f>
        <v>5700</v>
      </c>
      <c r="F93" s="15">
        <f>'Fritzøe - budsj 2020'!F95+'Fritzøe - budsjett service'!F94</f>
        <v>5700</v>
      </c>
      <c r="G93" s="15">
        <f>'Fritzøe - budsj 2020'!G95+'Fritzøe - budsjett service'!G94</f>
        <v>5700</v>
      </c>
      <c r="H93" s="15">
        <f>'Fritzøe - budsj 2020'!H95+'Fritzøe - budsjett service'!H94</f>
        <v>5700</v>
      </c>
      <c r="I93" s="15">
        <f>'Fritzøe - budsj 2020'!I95+'Fritzøe - budsjett service'!I94</f>
        <v>5700</v>
      </c>
      <c r="J93" s="15">
        <f>'Fritzøe - budsj 2020'!J95+'Fritzøe - budsjett service'!J94</f>
        <v>5700</v>
      </c>
      <c r="K93" s="15">
        <f>'Fritzøe - budsj 2020'!K95+'Fritzøe - budsjett service'!K94</f>
        <v>5700</v>
      </c>
      <c r="L93" s="15">
        <f>'Fritzøe - budsj 2020'!L95+'Fritzøe - budsjett service'!L94</f>
        <v>5700</v>
      </c>
      <c r="M93" s="15">
        <f>'Fritzøe - budsj 2020'!M95+'Fritzøe - budsjett service'!M94</f>
        <v>5700</v>
      </c>
      <c r="N93" s="15">
        <f>'Fritzøe - budsj 2020'!N95+'Fritzøe - budsjett service'!N94</f>
        <v>5700</v>
      </c>
      <c r="O93" s="15">
        <f>'Fritzøe - budsj 2020'!O95+'Fritzøe - budsjett service'!O94</f>
        <v>5700</v>
      </c>
      <c r="P93" s="15">
        <f>SUM(D93:O93)</f>
        <v>68400</v>
      </c>
    </row>
    <row r="94" spans="1:255" x14ac:dyDescent="0.3">
      <c r="A94" s="22">
        <v>6705</v>
      </c>
      <c r="B94" s="21" t="s">
        <v>15</v>
      </c>
      <c r="C94" s="14">
        <f>P94/$P$7</f>
        <v>5.3101962155446972E-3</v>
      </c>
      <c r="D94" s="15">
        <f>'Fritzøe - budsj 2020'!D96+'Fritzøe - budsjett service'!D95</f>
        <v>25000</v>
      </c>
      <c r="E94" s="15">
        <f>'Fritzøe - budsj 2020'!E96+'Fritzøe - budsjett service'!E95</f>
        <v>25000</v>
      </c>
      <c r="F94" s="15">
        <f>'Fritzøe - budsj 2020'!F96+'Fritzøe - budsjett service'!F95</f>
        <v>25000</v>
      </c>
      <c r="G94" s="15">
        <f>'Fritzøe - budsj 2020'!G96+'Fritzøe - budsjett service'!G95</f>
        <v>25000</v>
      </c>
      <c r="H94" s="15">
        <f>'Fritzøe - budsj 2020'!H96+'Fritzøe - budsjett service'!H95</f>
        <v>25000</v>
      </c>
      <c r="I94" s="15">
        <f>'Fritzøe - budsj 2020'!I96+'Fritzøe - budsjett service'!I95</f>
        <v>25000</v>
      </c>
      <c r="J94" s="15">
        <f>'Fritzøe - budsj 2020'!J96+'Fritzøe - budsjett service'!J95</f>
        <v>25000</v>
      </c>
      <c r="K94" s="15">
        <f>'Fritzøe - budsj 2020'!K96+'Fritzøe - budsjett service'!K95</f>
        <v>25000</v>
      </c>
      <c r="L94" s="15">
        <f>'Fritzøe - budsj 2020'!L96+'Fritzøe - budsjett service'!L95</f>
        <v>25000</v>
      </c>
      <c r="M94" s="15">
        <f>'Fritzøe - budsj 2020'!M96+'Fritzøe - budsjett service'!M95</f>
        <v>25000</v>
      </c>
      <c r="N94" s="15">
        <f>'Fritzøe - budsj 2020'!N96+'Fritzøe - budsjett service'!N95</f>
        <v>25000</v>
      </c>
      <c r="O94" s="15">
        <f>'Fritzøe - budsj 2020'!O96+'Fritzøe - budsjett service'!O95</f>
        <v>25000</v>
      </c>
      <c r="P94" s="15">
        <f>SUM(D94:O94)</f>
        <v>300000</v>
      </c>
    </row>
    <row r="95" spans="1:255" s="13" customFormat="1" x14ac:dyDescent="0.3">
      <c r="A95" s="22">
        <v>6721</v>
      </c>
      <c r="B95" s="43" t="s">
        <v>214</v>
      </c>
      <c r="C95" s="14">
        <f>P95/$P$7</f>
        <v>2.2307263429323921E-2</v>
      </c>
      <c r="D95" s="15">
        <f>'Fritzøe - budsj 2020'!D97+'Fritzøe - budsjett service'!D96</f>
        <v>105020.9</v>
      </c>
      <c r="E95" s="15">
        <f>'Fritzøe - budsj 2020'!E97+'Fritzøe - budsjett service'!E96</f>
        <v>105020.9</v>
      </c>
      <c r="F95" s="15">
        <f>'Fritzøe - budsj 2020'!F97+'Fritzøe - budsjett service'!F96</f>
        <v>105020.9</v>
      </c>
      <c r="G95" s="15">
        <f>'Fritzøe - budsj 2020'!G97+'Fritzøe - budsjett service'!G96</f>
        <v>105020.9</v>
      </c>
      <c r="H95" s="15">
        <f>'Fritzøe - budsj 2020'!H97+'Fritzøe - budsjett service'!H96</f>
        <v>105020.9</v>
      </c>
      <c r="I95" s="15">
        <f>'Fritzøe - budsj 2020'!I97+'Fritzøe - budsjett service'!I96</f>
        <v>105020.9</v>
      </c>
      <c r="J95" s="15">
        <f>'Fritzøe - budsj 2020'!J97+'Fritzøe - budsjett service'!J96</f>
        <v>105020.9</v>
      </c>
      <c r="K95" s="15">
        <f>'Fritzøe - budsj 2020'!K97+'Fritzøe - budsjett service'!K96</f>
        <v>105020.9</v>
      </c>
      <c r="L95" s="15">
        <f>'Fritzøe - budsj 2020'!L97+'Fritzøe - budsjett service'!L96</f>
        <v>105020.9</v>
      </c>
      <c r="M95" s="15">
        <f>'Fritzøe - budsj 2020'!M97+'Fritzøe - budsjett service'!M96</f>
        <v>105020.9</v>
      </c>
      <c r="N95" s="15">
        <f>'Fritzøe - budsj 2020'!N97+'Fritzøe - budsjett service'!N96</f>
        <v>105020.9</v>
      </c>
      <c r="O95" s="15">
        <f>'Fritzøe - budsj 2020'!O97+'Fritzøe - budsjett service'!O96</f>
        <v>105020.9</v>
      </c>
      <c r="P95" s="15">
        <f>SUM(D95:O95)</f>
        <v>1260250.7999999998</v>
      </c>
      <c r="Q95" s="84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</row>
    <row r="96" spans="1:255" s="13" customFormat="1" x14ac:dyDescent="0.3">
      <c r="A96" s="22">
        <v>6725</v>
      </c>
      <c r="B96" s="43" t="s">
        <v>82</v>
      </c>
      <c r="C96" s="14">
        <f>P96/$P$7</f>
        <v>3.1861177293268184E-4</v>
      </c>
      <c r="D96" s="15">
        <f>'Fritzøe - budsj 2020'!D98+'Fritzøe - budsjett service'!D97</f>
        <v>1500</v>
      </c>
      <c r="E96" s="15">
        <f>'Fritzøe - budsj 2020'!E98+'Fritzøe - budsjett service'!E97</f>
        <v>1500</v>
      </c>
      <c r="F96" s="15">
        <f>'Fritzøe - budsj 2020'!F98+'Fritzøe - budsjett service'!F97</f>
        <v>1500</v>
      </c>
      <c r="G96" s="15">
        <f>'Fritzøe - budsj 2020'!G98+'Fritzøe - budsjett service'!G97</f>
        <v>1500</v>
      </c>
      <c r="H96" s="15">
        <f>'Fritzøe - budsj 2020'!H98+'Fritzøe - budsjett service'!H97</f>
        <v>1500</v>
      </c>
      <c r="I96" s="15">
        <f>'Fritzøe - budsj 2020'!I98+'Fritzøe - budsjett service'!I97</f>
        <v>1500</v>
      </c>
      <c r="J96" s="15">
        <f>'Fritzøe - budsj 2020'!J98+'Fritzøe - budsjett service'!J97</f>
        <v>1500</v>
      </c>
      <c r="K96" s="15">
        <f>'Fritzøe - budsj 2020'!K98+'Fritzøe - budsjett service'!K97</f>
        <v>1500</v>
      </c>
      <c r="L96" s="15">
        <f>'Fritzøe - budsj 2020'!L98+'Fritzøe - budsjett service'!L97</f>
        <v>1500</v>
      </c>
      <c r="M96" s="15">
        <f>'Fritzøe - budsj 2020'!M98+'Fritzøe - budsjett service'!M97</f>
        <v>1500</v>
      </c>
      <c r="N96" s="15">
        <f>'Fritzøe - budsj 2020'!N98+'Fritzøe - budsjett service'!N97</f>
        <v>1500</v>
      </c>
      <c r="O96" s="15">
        <f>'Fritzøe - budsj 2020'!O98+'Fritzøe - budsjett service'!O97</f>
        <v>1500</v>
      </c>
      <c r="P96" s="15">
        <f>SUM(D96:O96)</f>
        <v>18000</v>
      </c>
      <c r="Q96" s="84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</row>
    <row r="97" spans="1:255" x14ac:dyDescent="0.3">
      <c r="A97" s="23"/>
      <c r="B97" s="20" t="s">
        <v>84</v>
      </c>
      <c r="C97" s="26">
        <f>P97/$P$7</f>
        <v>2.914679615494549E-2</v>
      </c>
      <c r="D97" s="17">
        <f>SUM(D93:D96)</f>
        <v>137220.9</v>
      </c>
      <c r="E97" s="17">
        <f t="shared" ref="E97:P97" si="20">SUM(E93:E96)</f>
        <v>137220.9</v>
      </c>
      <c r="F97" s="17">
        <f t="shared" si="20"/>
        <v>137220.9</v>
      </c>
      <c r="G97" s="17">
        <f t="shared" si="20"/>
        <v>137220.9</v>
      </c>
      <c r="H97" s="17">
        <f t="shared" si="20"/>
        <v>137220.9</v>
      </c>
      <c r="I97" s="17">
        <f t="shared" si="20"/>
        <v>137220.9</v>
      </c>
      <c r="J97" s="17">
        <f t="shared" si="20"/>
        <v>137220.9</v>
      </c>
      <c r="K97" s="17">
        <f t="shared" si="20"/>
        <v>137220.9</v>
      </c>
      <c r="L97" s="17">
        <f t="shared" si="20"/>
        <v>137220.9</v>
      </c>
      <c r="M97" s="17">
        <f t="shared" si="20"/>
        <v>137220.9</v>
      </c>
      <c r="N97" s="17">
        <f t="shared" si="20"/>
        <v>137220.9</v>
      </c>
      <c r="O97" s="17">
        <f t="shared" si="20"/>
        <v>137220.9</v>
      </c>
      <c r="P97" s="17">
        <f t="shared" si="20"/>
        <v>1646650.7999999998</v>
      </c>
    </row>
    <row r="98" spans="1:255" x14ac:dyDescent="0.3">
      <c r="A98" s="114"/>
      <c r="B98" s="23"/>
      <c r="C98" s="14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1:255" s="13" customFormat="1" x14ac:dyDescent="0.3">
      <c r="A99" s="23" t="s">
        <v>85</v>
      </c>
      <c r="B99" s="43"/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84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</row>
    <row r="100" spans="1:255" x14ac:dyDescent="0.3">
      <c r="A100" s="22">
        <v>6800</v>
      </c>
      <c r="B100" s="43" t="s">
        <v>87</v>
      </c>
      <c r="C100" s="14">
        <f t="shared" ref="C100:C105" si="21">P100/$P$7</f>
        <v>2.7613020320832427E-4</v>
      </c>
      <c r="D100" s="15">
        <f>'Fritzøe - budsj 2020'!D102+'Fritzøe - budsjett service'!D101</f>
        <v>1300</v>
      </c>
      <c r="E100" s="15">
        <f>'Fritzøe - budsj 2020'!E102+'Fritzøe - budsjett service'!E101</f>
        <v>1300</v>
      </c>
      <c r="F100" s="15">
        <f>'Fritzøe - budsj 2020'!F102+'Fritzøe - budsjett service'!F101</f>
        <v>1300</v>
      </c>
      <c r="G100" s="15">
        <f>'Fritzøe - budsj 2020'!G102+'Fritzøe - budsjett service'!G101</f>
        <v>1300</v>
      </c>
      <c r="H100" s="15">
        <f>'Fritzøe - budsj 2020'!H102+'Fritzøe - budsjett service'!H101</f>
        <v>1300</v>
      </c>
      <c r="I100" s="15">
        <f>'Fritzøe - budsj 2020'!I102+'Fritzøe - budsjett service'!I101</f>
        <v>1300</v>
      </c>
      <c r="J100" s="15">
        <f>'Fritzøe - budsj 2020'!J102+'Fritzøe - budsjett service'!J101</f>
        <v>1300</v>
      </c>
      <c r="K100" s="15">
        <f>'Fritzøe - budsj 2020'!K102+'Fritzøe - budsjett service'!K101</f>
        <v>1300</v>
      </c>
      <c r="L100" s="15">
        <f>'Fritzøe - budsj 2020'!L102+'Fritzøe - budsjett service'!L101</f>
        <v>1300</v>
      </c>
      <c r="M100" s="15">
        <f>'Fritzøe - budsj 2020'!M102+'Fritzøe - budsjett service'!M101</f>
        <v>1300</v>
      </c>
      <c r="N100" s="15">
        <f>'Fritzøe - budsj 2020'!N102+'Fritzøe - budsjett service'!N101</f>
        <v>1300</v>
      </c>
      <c r="O100" s="15">
        <f>'Fritzøe - budsj 2020'!O102+'Fritzøe - budsjett service'!O101</f>
        <v>1300</v>
      </c>
      <c r="P100" s="15">
        <f>SUM(D100:O100)</f>
        <v>15600</v>
      </c>
    </row>
    <row r="101" spans="1:255" x14ac:dyDescent="0.3">
      <c r="A101" s="22">
        <v>6890</v>
      </c>
      <c r="B101" s="43" t="s">
        <v>89</v>
      </c>
      <c r="C101" s="14">
        <f t="shared" si="21"/>
        <v>2.7613020320832427E-4</v>
      </c>
      <c r="D101" s="15">
        <f>'Fritzøe - budsj 2020'!D103+'Fritzøe - budsjett service'!D102</f>
        <v>1300</v>
      </c>
      <c r="E101" s="15">
        <f>'Fritzøe - budsj 2020'!E103+'Fritzøe - budsjett service'!E102</f>
        <v>1300</v>
      </c>
      <c r="F101" s="15">
        <f>'Fritzøe - budsj 2020'!F103+'Fritzøe - budsjett service'!F102</f>
        <v>1300</v>
      </c>
      <c r="G101" s="15">
        <f>'Fritzøe - budsj 2020'!G103+'Fritzøe - budsjett service'!G102</f>
        <v>1300</v>
      </c>
      <c r="H101" s="15">
        <f>'Fritzøe - budsj 2020'!H103+'Fritzøe - budsjett service'!H102</f>
        <v>1300</v>
      </c>
      <c r="I101" s="15">
        <f>'Fritzøe - budsj 2020'!I103+'Fritzøe - budsjett service'!I102</f>
        <v>1300</v>
      </c>
      <c r="J101" s="15">
        <f>'Fritzøe - budsj 2020'!J103+'Fritzøe - budsjett service'!J102</f>
        <v>1300</v>
      </c>
      <c r="K101" s="15">
        <f>'Fritzøe - budsj 2020'!K103+'Fritzøe - budsjett service'!K102</f>
        <v>1300</v>
      </c>
      <c r="L101" s="15">
        <f>'Fritzøe - budsj 2020'!L103+'Fritzøe - budsjett service'!L102</f>
        <v>1300</v>
      </c>
      <c r="M101" s="15">
        <f>'Fritzøe - budsj 2020'!M103+'Fritzøe - budsjett service'!M102</f>
        <v>1300</v>
      </c>
      <c r="N101" s="15">
        <f>'Fritzøe - budsj 2020'!N103+'Fritzøe - budsjett service'!N102</f>
        <v>1300</v>
      </c>
      <c r="O101" s="15">
        <f>'Fritzøe - budsj 2020'!O103+'Fritzøe - budsjett service'!O102</f>
        <v>1300</v>
      </c>
      <c r="P101" s="15">
        <f>SUM(D101:O101)</f>
        <v>15600</v>
      </c>
    </row>
    <row r="102" spans="1:255" x14ac:dyDescent="0.3">
      <c r="A102" s="22">
        <v>6900</v>
      </c>
      <c r="B102" s="43" t="s">
        <v>204</v>
      </c>
      <c r="C102" s="14">
        <f t="shared" si="21"/>
        <v>3.8233412751921818E-4</v>
      </c>
      <c r="D102" s="15">
        <f>'Fritzøe - budsj 2020'!D104+'Fritzøe - budsjett service'!D103</f>
        <v>1800</v>
      </c>
      <c r="E102" s="15">
        <f>'Fritzøe - budsj 2020'!E104+'Fritzøe - budsjett service'!E103</f>
        <v>1800</v>
      </c>
      <c r="F102" s="15">
        <f>'Fritzøe - budsj 2020'!F104+'Fritzøe - budsjett service'!F103</f>
        <v>1800</v>
      </c>
      <c r="G102" s="15">
        <f>'Fritzøe - budsj 2020'!G104+'Fritzøe - budsjett service'!G103</f>
        <v>1800</v>
      </c>
      <c r="H102" s="15">
        <f>'Fritzøe - budsj 2020'!H104+'Fritzøe - budsjett service'!H103</f>
        <v>1800</v>
      </c>
      <c r="I102" s="15">
        <f>'Fritzøe - budsj 2020'!I104+'Fritzøe - budsjett service'!I103</f>
        <v>1800</v>
      </c>
      <c r="J102" s="15">
        <f>'Fritzøe - budsj 2020'!J104+'Fritzøe - budsjett service'!J103</f>
        <v>1800</v>
      </c>
      <c r="K102" s="15">
        <f>'Fritzøe - budsj 2020'!K104+'Fritzøe - budsjett service'!K103</f>
        <v>1800</v>
      </c>
      <c r="L102" s="15">
        <f>'Fritzøe - budsj 2020'!L104+'Fritzøe - budsjett service'!L103</f>
        <v>1800</v>
      </c>
      <c r="M102" s="15">
        <f>'Fritzøe - budsj 2020'!M104+'Fritzøe - budsjett service'!M103</f>
        <v>1800</v>
      </c>
      <c r="N102" s="15">
        <f>'Fritzøe - budsj 2020'!N104+'Fritzøe - budsjett service'!N103</f>
        <v>1800</v>
      </c>
      <c r="O102" s="15">
        <f>'Fritzøe - budsj 2020'!O104+'Fritzøe - budsjett service'!O103</f>
        <v>1800</v>
      </c>
      <c r="P102" s="15">
        <f>SUM(D102:O102)</f>
        <v>21600</v>
      </c>
    </row>
    <row r="103" spans="1:255" x14ac:dyDescent="0.3">
      <c r="A103" s="22">
        <v>6903</v>
      </c>
      <c r="B103" s="43" t="s">
        <v>203</v>
      </c>
      <c r="C103" s="14">
        <f t="shared" si="21"/>
        <v>6.5846433072754246E-4</v>
      </c>
      <c r="D103" s="15">
        <f>'Fritzøe - budsj 2020'!D105+'Fritzøe - budsjett service'!D104</f>
        <v>3100</v>
      </c>
      <c r="E103" s="15">
        <f>'Fritzøe - budsj 2020'!E105+'Fritzøe - budsjett service'!E104</f>
        <v>3100</v>
      </c>
      <c r="F103" s="15">
        <f>'Fritzøe - budsj 2020'!F105+'Fritzøe - budsjett service'!F104</f>
        <v>3100</v>
      </c>
      <c r="G103" s="15">
        <f>'Fritzøe - budsj 2020'!G105+'Fritzøe - budsjett service'!G104</f>
        <v>3100</v>
      </c>
      <c r="H103" s="15">
        <f>'Fritzøe - budsj 2020'!H105+'Fritzøe - budsjett service'!H104</f>
        <v>3100</v>
      </c>
      <c r="I103" s="15">
        <f>'Fritzøe - budsj 2020'!I105+'Fritzøe - budsjett service'!I104</f>
        <v>3100</v>
      </c>
      <c r="J103" s="15">
        <f>'Fritzøe - budsj 2020'!J105+'Fritzøe - budsjett service'!J104</f>
        <v>3100</v>
      </c>
      <c r="K103" s="15">
        <f>'Fritzøe - budsj 2020'!K105+'Fritzøe - budsjett service'!K104</f>
        <v>3100</v>
      </c>
      <c r="L103" s="15">
        <f>'Fritzøe - budsj 2020'!L105+'Fritzøe - budsjett service'!L104</f>
        <v>3100</v>
      </c>
      <c r="M103" s="15">
        <f>'Fritzøe - budsj 2020'!M105+'Fritzøe - budsjett service'!M104</f>
        <v>3100</v>
      </c>
      <c r="N103" s="15">
        <f>'Fritzøe - budsj 2020'!N105+'Fritzøe - budsjett service'!N104</f>
        <v>3100</v>
      </c>
      <c r="O103" s="15">
        <f>'Fritzøe - budsj 2020'!O105+'Fritzøe - budsjett service'!O104</f>
        <v>3100</v>
      </c>
      <c r="P103" s="15">
        <f>SUM(D103:O103)</f>
        <v>37200</v>
      </c>
    </row>
    <row r="104" spans="1:255" x14ac:dyDescent="0.3">
      <c r="A104" s="22">
        <v>6940</v>
      </c>
      <c r="B104" s="43" t="s">
        <v>88</v>
      </c>
      <c r="C104" s="14">
        <f t="shared" si="21"/>
        <v>2.1240784862178789E-5</v>
      </c>
      <c r="D104" s="15">
        <f>'Fritzøe - budsj 2020'!D106+'Fritzøe - budsjett service'!D105</f>
        <v>100</v>
      </c>
      <c r="E104" s="15">
        <f>'Fritzøe - budsj 2020'!E106+'Fritzøe - budsjett service'!E105</f>
        <v>100</v>
      </c>
      <c r="F104" s="15">
        <f>'Fritzøe - budsj 2020'!F106+'Fritzøe - budsjett service'!F105</f>
        <v>100</v>
      </c>
      <c r="G104" s="15">
        <f>'Fritzøe - budsj 2020'!G106+'Fritzøe - budsjett service'!G105</f>
        <v>100</v>
      </c>
      <c r="H104" s="15">
        <f>'Fritzøe - budsj 2020'!H106+'Fritzøe - budsjett service'!H105</f>
        <v>100</v>
      </c>
      <c r="I104" s="15">
        <f>'Fritzøe - budsj 2020'!I106+'Fritzøe - budsjett service'!I105</f>
        <v>100</v>
      </c>
      <c r="J104" s="15">
        <f>'Fritzøe - budsj 2020'!J106+'Fritzøe - budsjett service'!J105</f>
        <v>100</v>
      </c>
      <c r="K104" s="15">
        <f>'Fritzøe - budsj 2020'!K106+'Fritzøe - budsjett service'!K105</f>
        <v>100</v>
      </c>
      <c r="L104" s="15">
        <f>'Fritzøe - budsj 2020'!L106+'Fritzøe - budsjett service'!L105</f>
        <v>100</v>
      </c>
      <c r="M104" s="15">
        <f>'Fritzøe - budsj 2020'!M106+'Fritzøe - budsjett service'!M105</f>
        <v>100</v>
      </c>
      <c r="N104" s="15">
        <f>'Fritzøe - budsj 2020'!N106+'Fritzøe - budsjett service'!N105</f>
        <v>100</v>
      </c>
      <c r="O104" s="15">
        <f>'Fritzøe - budsj 2020'!O106+'Fritzøe - budsjett service'!O105</f>
        <v>100</v>
      </c>
      <c r="P104" s="15">
        <f>SUM(D104:O104)</f>
        <v>1200</v>
      </c>
    </row>
    <row r="105" spans="1:255" x14ac:dyDescent="0.3">
      <c r="A105" s="23"/>
      <c r="B105" s="20" t="s">
        <v>86</v>
      </c>
      <c r="C105" s="26">
        <f t="shared" si="21"/>
        <v>1.6142996495255881E-3</v>
      </c>
      <c r="D105" s="17">
        <f t="shared" ref="D105:P105" si="22">SUM(D100:D104)</f>
        <v>7600</v>
      </c>
      <c r="E105" s="17">
        <f t="shared" si="22"/>
        <v>7600</v>
      </c>
      <c r="F105" s="17">
        <f t="shared" si="22"/>
        <v>7600</v>
      </c>
      <c r="G105" s="17">
        <f t="shared" si="22"/>
        <v>7600</v>
      </c>
      <c r="H105" s="17">
        <f t="shared" si="22"/>
        <v>7600</v>
      </c>
      <c r="I105" s="17">
        <f t="shared" si="22"/>
        <v>7600</v>
      </c>
      <c r="J105" s="17">
        <f t="shared" si="22"/>
        <v>7600</v>
      </c>
      <c r="K105" s="17">
        <f t="shared" si="22"/>
        <v>7600</v>
      </c>
      <c r="L105" s="17">
        <f t="shared" si="22"/>
        <v>7600</v>
      </c>
      <c r="M105" s="17">
        <f t="shared" si="22"/>
        <v>7600</v>
      </c>
      <c r="N105" s="17">
        <f t="shared" si="22"/>
        <v>7600</v>
      </c>
      <c r="O105" s="17">
        <f t="shared" si="22"/>
        <v>7600</v>
      </c>
      <c r="P105" s="17">
        <f t="shared" si="22"/>
        <v>91200</v>
      </c>
    </row>
    <row r="106" spans="1:255" x14ac:dyDescent="0.3">
      <c r="A106" s="23"/>
      <c r="B106" s="23"/>
      <c r="C106" s="14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 spans="1:255" x14ac:dyDescent="0.3">
      <c r="A107" s="23" t="s">
        <v>90</v>
      </c>
      <c r="B107" s="21"/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255" x14ac:dyDescent="0.3">
      <c r="A108" s="22">
        <v>7000</v>
      </c>
      <c r="B108" s="21" t="s">
        <v>47</v>
      </c>
      <c r="C108" s="14">
        <f>P108/$P$7</f>
        <v>2.7613020320832425E-3</v>
      </c>
      <c r="D108" s="15">
        <f>'Fritzøe - budsj 2020'!D110+'Fritzøe - budsjett service'!D109</f>
        <v>13000</v>
      </c>
      <c r="E108" s="15">
        <f>'Fritzøe - budsj 2020'!E110+'Fritzøe - budsjett service'!E109</f>
        <v>13000</v>
      </c>
      <c r="F108" s="15">
        <f>'Fritzøe - budsj 2020'!F110+'Fritzøe - budsjett service'!F109</f>
        <v>13000</v>
      </c>
      <c r="G108" s="15">
        <f>'Fritzøe - budsj 2020'!G110+'Fritzøe - budsjett service'!G109</f>
        <v>13000</v>
      </c>
      <c r="H108" s="15">
        <f>'Fritzøe - budsj 2020'!H110+'Fritzøe - budsjett service'!H109</f>
        <v>13000</v>
      </c>
      <c r="I108" s="15">
        <f>'Fritzøe - budsj 2020'!I110+'Fritzøe - budsjett service'!I109</f>
        <v>13000</v>
      </c>
      <c r="J108" s="15">
        <f>'Fritzøe - budsj 2020'!J110+'Fritzøe - budsjett service'!J109</f>
        <v>13000</v>
      </c>
      <c r="K108" s="15">
        <f>'Fritzøe - budsj 2020'!K110+'Fritzøe - budsjett service'!K109</f>
        <v>13000</v>
      </c>
      <c r="L108" s="15">
        <f>'Fritzøe - budsj 2020'!L110+'Fritzøe - budsjett service'!L109</f>
        <v>13000</v>
      </c>
      <c r="M108" s="15">
        <f>'Fritzøe - budsj 2020'!M110+'Fritzøe - budsjett service'!M109</f>
        <v>13000</v>
      </c>
      <c r="N108" s="15">
        <f>'Fritzøe - budsj 2020'!N110+'Fritzøe - budsjett service'!N109</f>
        <v>13000</v>
      </c>
      <c r="O108" s="15">
        <f>'Fritzøe - budsj 2020'!O110+'Fritzøe - budsjett service'!O109</f>
        <v>13000</v>
      </c>
      <c r="P108" s="15">
        <f>SUM(D108:O108)</f>
        <v>156000</v>
      </c>
    </row>
    <row r="109" spans="1:255" x14ac:dyDescent="0.3">
      <c r="A109" s="22">
        <v>7020</v>
      </c>
      <c r="B109" s="21" t="s">
        <v>48</v>
      </c>
      <c r="C109" s="14">
        <f>P109/$P$7</f>
        <v>2.3364863348396669E-3</v>
      </c>
      <c r="D109" s="15">
        <f>'Fritzøe - budsj 2020'!D111+'Fritzøe - budsjett service'!D110</f>
        <v>11000</v>
      </c>
      <c r="E109" s="15">
        <f>'Fritzøe - budsj 2020'!E111+'Fritzøe - budsjett service'!E110</f>
        <v>11000</v>
      </c>
      <c r="F109" s="15">
        <f>'Fritzøe - budsj 2020'!F111+'Fritzøe - budsjett service'!F110</f>
        <v>11000</v>
      </c>
      <c r="G109" s="15">
        <f>'Fritzøe - budsj 2020'!G111+'Fritzøe - budsjett service'!G110</f>
        <v>11000</v>
      </c>
      <c r="H109" s="15">
        <f>'Fritzøe - budsj 2020'!H111+'Fritzøe - budsjett service'!H110</f>
        <v>11000</v>
      </c>
      <c r="I109" s="15">
        <f>'Fritzøe - budsj 2020'!I111+'Fritzøe - budsjett service'!I110</f>
        <v>11000</v>
      </c>
      <c r="J109" s="15">
        <f>'Fritzøe - budsj 2020'!J111+'Fritzøe - budsjett service'!J110</f>
        <v>11000</v>
      </c>
      <c r="K109" s="15">
        <f>'Fritzøe - budsj 2020'!K111+'Fritzøe - budsjett service'!K110</f>
        <v>11000</v>
      </c>
      <c r="L109" s="15">
        <f>'Fritzøe - budsj 2020'!L111+'Fritzøe - budsjett service'!L110</f>
        <v>11000</v>
      </c>
      <c r="M109" s="15">
        <f>'Fritzøe - budsj 2020'!M111+'Fritzøe - budsjett service'!M110</f>
        <v>11000</v>
      </c>
      <c r="N109" s="15">
        <f>'Fritzøe - budsj 2020'!N111+'Fritzøe - budsjett service'!N110</f>
        <v>11000</v>
      </c>
      <c r="O109" s="15">
        <f>'Fritzøe - budsj 2020'!O111+'Fritzøe - budsjett service'!O110</f>
        <v>11000</v>
      </c>
      <c r="P109" s="15">
        <f>SUM(D109:O109)</f>
        <v>132000</v>
      </c>
    </row>
    <row r="110" spans="1:255" s="7" customFormat="1" x14ac:dyDescent="0.3">
      <c r="A110" s="22">
        <v>7040</v>
      </c>
      <c r="B110" s="21" t="s">
        <v>49</v>
      </c>
      <c r="C110" s="14">
        <f>P110/$P$7</f>
        <v>0</v>
      </c>
      <c r="D110" s="15">
        <f>'Fritzøe - budsj 2020'!D112+'Fritzøe - budsjett service'!D111</f>
        <v>0</v>
      </c>
      <c r="E110" s="15">
        <f>'Fritzøe - budsj 2020'!E112+'Fritzøe - budsjett service'!E111</f>
        <v>0</v>
      </c>
      <c r="F110" s="15">
        <f>'Fritzøe - budsj 2020'!F112+'Fritzøe - budsjett service'!F111</f>
        <v>0</v>
      </c>
      <c r="G110" s="15">
        <f>'Fritzøe - budsj 2020'!G112+'Fritzøe - budsjett service'!G111</f>
        <v>0</v>
      </c>
      <c r="H110" s="15">
        <f>'Fritzøe - budsj 2020'!H112+'Fritzøe - budsjett service'!H111</f>
        <v>0</v>
      </c>
      <c r="I110" s="15">
        <f>'Fritzøe - budsj 2020'!I112+'Fritzøe - budsjett service'!I111</f>
        <v>0</v>
      </c>
      <c r="J110" s="15">
        <f>'Fritzøe - budsj 2020'!J112+'Fritzøe - budsjett service'!J111</f>
        <v>0</v>
      </c>
      <c r="K110" s="15">
        <f>'Fritzøe - budsj 2020'!K112+'Fritzøe - budsjett service'!K111</f>
        <v>0</v>
      </c>
      <c r="L110" s="15">
        <f>'Fritzøe - budsj 2020'!L112+'Fritzøe - budsjett service'!L111</f>
        <v>0</v>
      </c>
      <c r="M110" s="15">
        <f>'Fritzøe - budsj 2020'!M112+'Fritzøe - budsjett service'!M111</f>
        <v>0</v>
      </c>
      <c r="N110" s="15">
        <f>'Fritzøe - budsj 2020'!N112+'Fritzøe - budsjett service'!N111</f>
        <v>0</v>
      </c>
      <c r="O110" s="15">
        <f>'Fritzøe - budsj 2020'!O112+'Fritzøe - budsjett service'!O111</f>
        <v>0</v>
      </c>
      <c r="P110" s="15">
        <f>SUM(D110:O110)</f>
        <v>0</v>
      </c>
      <c r="Q110" s="84"/>
    </row>
    <row r="111" spans="1:255" s="7" customFormat="1" x14ac:dyDescent="0.3">
      <c r="A111" s="22">
        <v>7090</v>
      </c>
      <c r="B111" s="43" t="s">
        <v>92</v>
      </c>
      <c r="C111" s="14">
        <f>P111/$P$7</f>
        <v>2.5488941834614547E-3</v>
      </c>
      <c r="D111" s="15">
        <f>'Fritzøe - budsj 2020'!D113+'Fritzøe - budsjett service'!D112</f>
        <v>12000</v>
      </c>
      <c r="E111" s="15">
        <f>'Fritzøe - budsj 2020'!E113+'Fritzøe - budsjett service'!E112</f>
        <v>12000</v>
      </c>
      <c r="F111" s="15">
        <f>'Fritzøe - budsj 2020'!F113+'Fritzøe - budsjett service'!F112</f>
        <v>12000</v>
      </c>
      <c r="G111" s="15">
        <f>'Fritzøe - budsj 2020'!G113+'Fritzøe - budsjett service'!G112</f>
        <v>12000</v>
      </c>
      <c r="H111" s="15">
        <f>'Fritzøe - budsj 2020'!H113+'Fritzøe - budsjett service'!H112</f>
        <v>12000</v>
      </c>
      <c r="I111" s="15">
        <f>'Fritzøe - budsj 2020'!I113+'Fritzøe - budsjett service'!I112</f>
        <v>12000</v>
      </c>
      <c r="J111" s="15">
        <f>'Fritzøe - budsj 2020'!J113+'Fritzøe - budsjett service'!J112</f>
        <v>12000</v>
      </c>
      <c r="K111" s="15">
        <f>'Fritzøe - budsj 2020'!K113+'Fritzøe - budsjett service'!K112</f>
        <v>12000</v>
      </c>
      <c r="L111" s="15">
        <f>'Fritzøe - budsj 2020'!L113+'Fritzøe - budsjett service'!L112</f>
        <v>12000</v>
      </c>
      <c r="M111" s="15">
        <f>'Fritzøe - budsj 2020'!M113+'Fritzøe - budsjett service'!M112</f>
        <v>12000</v>
      </c>
      <c r="N111" s="15">
        <f>'Fritzøe - budsj 2020'!N113+'Fritzøe - budsjett service'!N112</f>
        <v>12000</v>
      </c>
      <c r="O111" s="15">
        <f>'Fritzøe - budsj 2020'!O113+'Fritzøe - budsjett service'!O112</f>
        <v>12000</v>
      </c>
      <c r="P111" s="15">
        <f>SUM(D111:O111)</f>
        <v>144000</v>
      </c>
      <c r="Q111" s="84"/>
    </row>
    <row r="112" spans="1:255" s="7" customFormat="1" x14ac:dyDescent="0.3">
      <c r="A112" s="23"/>
      <c r="B112" s="20" t="s">
        <v>91</v>
      </c>
      <c r="C112" s="26">
        <f>P112/$P$7</f>
        <v>7.6466825503843641E-3</v>
      </c>
      <c r="D112" s="17">
        <f>SUM(D108:D111)</f>
        <v>36000</v>
      </c>
      <c r="E112" s="17">
        <f t="shared" ref="E112:P112" si="23">SUM(E108:E111)</f>
        <v>36000</v>
      </c>
      <c r="F112" s="17">
        <f t="shared" si="23"/>
        <v>36000</v>
      </c>
      <c r="G112" s="17">
        <f t="shared" si="23"/>
        <v>36000</v>
      </c>
      <c r="H112" s="17">
        <f t="shared" si="23"/>
        <v>36000</v>
      </c>
      <c r="I112" s="17">
        <f t="shared" si="23"/>
        <v>36000</v>
      </c>
      <c r="J112" s="17">
        <f t="shared" si="23"/>
        <v>36000</v>
      </c>
      <c r="K112" s="17">
        <f t="shared" si="23"/>
        <v>36000</v>
      </c>
      <c r="L112" s="17">
        <f t="shared" si="23"/>
        <v>36000</v>
      </c>
      <c r="M112" s="17">
        <f t="shared" si="23"/>
        <v>36000</v>
      </c>
      <c r="N112" s="17">
        <f t="shared" si="23"/>
        <v>36000</v>
      </c>
      <c r="O112" s="17">
        <f t="shared" si="23"/>
        <v>36000</v>
      </c>
      <c r="P112" s="17">
        <f t="shared" si="23"/>
        <v>432000</v>
      </c>
      <c r="Q112" s="84"/>
    </row>
    <row r="113" spans="1:17" s="7" customFormat="1" x14ac:dyDescent="0.3">
      <c r="A113" s="23"/>
      <c r="B113" s="23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84"/>
    </row>
    <row r="114" spans="1:17" x14ac:dyDescent="0.3">
      <c r="A114" s="23" t="s">
        <v>129</v>
      </c>
      <c r="B114" s="21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7" x14ac:dyDescent="0.3">
      <c r="A115" s="22">
        <v>7100</v>
      </c>
      <c r="B115" s="43" t="s">
        <v>94</v>
      </c>
      <c r="C115" s="14">
        <f>P115/$P$7</f>
        <v>7.4342747017625758E-4</v>
      </c>
      <c r="D115" s="15">
        <f>'Fritzøe - budsj 2020'!D117+'Fritzøe - budsjett service'!D116</f>
        <v>3500</v>
      </c>
      <c r="E115" s="15">
        <f>'Fritzøe - budsj 2020'!E117+'Fritzøe - budsjett service'!E116</f>
        <v>3500</v>
      </c>
      <c r="F115" s="15">
        <f>'Fritzøe - budsj 2020'!F117+'Fritzøe - budsjett service'!F116</f>
        <v>3500</v>
      </c>
      <c r="G115" s="15">
        <f>'Fritzøe - budsj 2020'!G117+'Fritzøe - budsjett service'!G116</f>
        <v>3500</v>
      </c>
      <c r="H115" s="15">
        <f>'Fritzøe - budsj 2020'!H117+'Fritzøe - budsjett service'!H116</f>
        <v>3500</v>
      </c>
      <c r="I115" s="15">
        <f>'Fritzøe - budsj 2020'!I117+'Fritzøe - budsjett service'!I116</f>
        <v>3500</v>
      </c>
      <c r="J115" s="15">
        <f>'Fritzøe - budsj 2020'!J117+'Fritzøe - budsjett service'!J116</f>
        <v>3500</v>
      </c>
      <c r="K115" s="15">
        <f>'Fritzøe - budsj 2020'!K117+'Fritzøe - budsjett service'!K116</f>
        <v>3500</v>
      </c>
      <c r="L115" s="15">
        <f>'Fritzøe - budsj 2020'!L117+'Fritzøe - budsjett service'!L116</f>
        <v>3500</v>
      </c>
      <c r="M115" s="15">
        <f>'Fritzøe - budsj 2020'!M117+'Fritzøe - budsjett service'!M116</f>
        <v>3500</v>
      </c>
      <c r="N115" s="15">
        <f>'Fritzøe - budsj 2020'!N117+'Fritzøe - budsjett service'!N116</f>
        <v>3500</v>
      </c>
      <c r="O115" s="15">
        <f>'Fritzøe - budsj 2020'!O117+'Fritzøe - budsjett service'!O116</f>
        <v>3500</v>
      </c>
      <c r="P115" s="15">
        <f>SUM(D115:O115)</f>
        <v>42000</v>
      </c>
    </row>
    <row r="116" spans="1:17" x14ac:dyDescent="0.3">
      <c r="A116" s="22">
        <v>7140</v>
      </c>
      <c r="B116" s="43" t="s">
        <v>95</v>
      </c>
      <c r="C116" s="14">
        <f>P116/$P$7</f>
        <v>1.4868549403525153E-4</v>
      </c>
      <c r="D116" s="15">
        <f>'Fritzøe - budsj 2020'!D118+'Fritzøe - budsjett service'!D117</f>
        <v>700</v>
      </c>
      <c r="E116" s="15">
        <f>'Fritzøe - budsj 2020'!E118+'Fritzøe - budsjett service'!E117</f>
        <v>700</v>
      </c>
      <c r="F116" s="15">
        <f>'Fritzøe - budsj 2020'!F118+'Fritzøe - budsjett service'!F117</f>
        <v>700</v>
      </c>
      <c r="G116" s="15">
        <f>'Fritzøe - budsj 2020'!G118+'Fritzøe - budsjett service'!G117</f>
        <v>700</v>
      </c>
      <c r="H116" s="15">
        <f>'Fritzøe - budsj 2020'!H118+'Fritzøe - budsjett service'!H117</f>
        <v>700</v>
      </c>
      <c r="I116" s="15">
        <f>'Fritzøe - budsj 2020'!I118+'Fritzøe - budsjett service'!I117</f>
        <v>700</v>
      </c>
      <c r="J116" s="15">
        <f>'Fritzøe - budsj 2020'!J118+'Fritzøe - budsjett service'!J117</f>
        <v>700</v>
      </c>
      <c r="K116" s="15">
        <f>'Fritzøe - budsj 2020'!K118+'Fritzøe - budsjett service'!K117</f>
        <v>700</v>
      </c>
      <c r="L116" s="15">
        <f>'Fritzøe - budsj 2020'!L118+'Fritzøe - budsjett service'!L117</f>
        <v>700</v>
      </c>
      <c r="M116" s="15">
        <f>'Fritzøe - budsj 2020'!M118+'Fritzøe - budsjett service'!M117</f>
        <v>700</v>
      </c>
      <c r="N116" s="15">
        <f>'Fritzøe - budsj 2020'!N118+'Fritzøe - budsjett service'!N117</f>
        <v>700</v>
      </c>
      <c r="O116" s="15">
        <f>'Fritzøe - budsj 2020'!O118+'Fritzøe - budsjett service'!O117</f>
        <v>700</v>
      </c>
      <c r="P116" s="15">
        <f>SUM(D116:O116)</f>
        <v>8400</v>
      </c>
    </row>
    <row r="117" spans="1:17" s="7" customFormat="1" x14ac:dyDescent="0.3">
      <c r="A117" s="22">
        <v>7150</v>
      </c>
      <c r="B117" s="43" t="s">
        <v>176</v>
      </c>
      <c r="C117" s="14">
        <f>P117/$P$7</f>
        <v>4.248156972435758E-4</v>
      </c>
      <c r="D117" s="15">
        <f>'Fritzøe - budsj 2020'!D119+'Fritzøe - budsjett service'!D118</f>
        <v>2000</v>
      </c>
      <c r="E117" s="15">
        <f>'Fritzøe - budsj 2020'!E119+'Fritzøe - budsjett service'!E118</f>
        <v>2000</v>
      </c>
      <c r="F117" s="15">
        <f>'Fritzøe - budsj 2020'!F119+'Fritzøe - budsjett service'!F118</f>
        <v>2000</v>
      </c>
      <c r="G117" s="15">
        <f>'Fritzøe - budsj 2020'!G119+'Fritzøe - budsjett service'!G118</f>
        <v>2000</v>
      </c>
      <c r="H117" s="15">
        <f>'Fritzøe - budsj 2020'!H119+'Fritzøe - budsjett service'!H118</f>
        <v>2000</v>
      </c>
      <c r="I117" s="15">
        <f>'Fritzøe - budsj 2020'!I119+'Fritzøe - budsjett service'!I118</f>
        <v>2000</v>
      </c>
      <c r="J117" s="15">
        <f>'Fritzøe - budsj 2020'!J119+'Fritzøe - budsjett service'!J118</f>
        <v>2000</v>
      </c>
      <c r="K117" s="15">
        <f>'Fritzøe - budsj 2020'!K119+'Fritzøe - budsjett service'!K118</f>
        <v>2000</v>
      </c>
      <c r="L117" s="15">
        <f>'Fritzøe - budsj 2020'!L119+'Fritzøe - budsjett service'!L118</f>
        <v>2000</v>
      </c>
      <c r="M117" s="15">
        <f>'Fritzøe - budsj 2020'!M119+'Fritzøe - budsjett service'!M118</f>
        <v>2000</v>
      </c>
      <c r="N117" s="15">
        <f>'Fritzøe - budsj 2020'!N119+'Fritzøe - budsjett service'!N118</f>
        <v>2000</v>
      </c>
      <c r="O117" s="15">
        <f>'Fritzøe - budsj 2020'!O119+'Fritzøe - budsjett service'!O118</f>
        <v>2000</v>
      </c>
      <c r="P117" s="15">
        <f>SUM(D117:O117)</f>
        <v>24000</v>
      </c>
      <c r="Q117" s="84"/>
    </row>
    <row r="118" spans="1:17" s="7" customFormat="1" x14ac:dyDescent="0.3">
      <c r="A118" s="22">
        <v>7160</v>
      </c>
      <c r="B118" s="43" t="s">
        <v>97</v>
      </c>
      <c r="C118" s="14">
        <f>P118/$P$7</f>
        <v>1.2744470917307275E-4</v>
      </c>
      <c r="D118" s="15">
        <f>'Fritzøe - budsj 2020'!D120+'Fritzøe - budsjett service'!D119</f>
        <v>600</v>
      </c>
      <c r="E118" s="15">
        <f>'Fritzøe - budsj 2020'!E120+'Fritzøe - budsjett service'!E119</f>
        <v>600</v>
      </c>
      <c r="F118" s="15">
        <f>'Fritzøe - budsj 2020'!F120+'Fritzøe - budsjett service'!F119</f>
        <v>600</v>
      </c>
      <c r="G118" s="15">
        <f>'Fritzøe - budsj 2020'!G120+'Fritzøe - budsjett service'!G119</f>
        <v>600</v>
      </c>
      <c r="H118" s="15">
        <f>'Fritzøe - budsj 2020'!H120+'Fritzøe - budsjett service'!H119</f>
        <v>600</v>
      </c>
      <c r="I118" s="15">
        <f>'Fritzøe - budsj 2020'!I120+'Fritzøe - budsjett service'!I119</f>
        <v>600</v>
      </c>
      <c r="J118" s="15">
        <f>'Fritzøe - budsj 2020'!J120+'Fritzøe - budsjett service'!J119</f>
        <v>600</v>
      </c>
      <c r="K118" s="15">
        <f>'Fritzøe - budsj 2020'!K120+'Fritzøe - budsjett service'!K119</f>
        <v>600</v>
      </c>
      <c r="L118" s="15">
        <f>'Fritzøe - budsj 2020'!L120+'Fritzøe - budsjett service'!L119</f>
        <v>600</v>
      </c>
      <c r="M118" s="15">
        <f>'Fritzøe - budsj 2020'!M120+'Fritzøe - budsjett service'!M119</f>
        <v>600</v>
      </c>
      <c r="N118" s="15">
        <f>'Fritzøe - budsj 2020'!N120+'Fritzøe - budsjett service'!N119</f>
        <v>600</v>
      </c>
      <c r="O118" s="15">
        <f>'Fritzøe - budsj 2020'!O120+'Fritzøe - budsjett service'!O119</f>
        <v>600</v>
      </c>
      <c r="P118" s="15">
        <f>SUM(D118:O118)</f>
        <v>7200</v>
      </c>
      <c r="Q118" s="84"/>
    </row>
    <row r="119" spans="1:17" s="7" customFormat="1" x14ac:dyDescent="0.3">
      <c r="A119" s="23"/>
      <c r="B119" s="20" t="s">
        <v>93</v>
      </c>
      <c r="C119" s="26">
        <f>P119/$P$7</f>
        <v>1.4443733706281576E-3</v>
      </c>
      <c r="D119" s="17">
        <f t="shared" ref="D119:P119" si="24">SUM(D115:D118)</f>
        <v>6800</v>
      </c>
      <c r="E119" s="17">
        <f t="shared" si="24"/>
        <v>6800</v>
      </c>
      <c r="F119" s="17">
        <f t="shared" si="24"/>
        <v>6800</v>
      </c>
      <c r="G119" s="17">
        <f t="shared" si="24"/>
        <v>6800</v>
      </c>
      <c r="H119" s="17">
        <f t="shared" si="24"/>
        <v>6800</v>
      </c>
      <c r="I119" s="17">
        <f t="shared" si="24"/>
        <v>6800</v>
      </c>
      <c r="J119" s="17">
        <f t="shared" si="24"/>
        <v>6800</v>
      </c>
      <c r="K119" s="17">
        <f t="shared" si="24"/>
        <v>6800</v>
      </c>
      <c r="L119" s="17">
        <f t="shared" si="24"/>
        <v>6800</v>
      </c>
      <c r="M119" s="17">
        <f t="shared" si="24"/>
        <v>6800</v>
      </c>
      <c r="N119" s="17">
        <f t="shared" si="24"/>
        <v>6800</v>
      </c>
      <c r="O119" s="17">
        <f t="shared" si="24"/>
        <v>6800</v>
      </c>
      <c r="P119" s="17">
        <f t="shared" si="24"/>
        <v>81600</v>
      </c>
      <c r="Q119" s="84"/>
    </row>
    <row r="120" spans="1:17" s="7" customFormat="1" x14ac:dyDescent="0.3">
      <c r="A120" s="23"/>
      <c r="B120" s="23"/>
      <c r="C120" s="1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84"/>
    </row>
    <row r="121" spans="1:17" x14ac:dyDescent="0.3">
      <c r="A121" s="23" t="s">
        <v>98</v>
      </c>
      <c r="B121" s="21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7" x14ac:dyDescent="0.3">
      <c r="A122" s="22">
        <v>7320</v>
      </c>
      <c r="B122" s="43" t="s">
        <v>100</v>
      </c>
      <c r="C122" s="14">
        <f>P122/$P$7</f>
        <v>6.3722354586536367E-4</v>
      </c>
      <c r="D122" s="15">
        <f>'Fritzøe - budsj 2020'!D124+'Fritzøe - budsjett service'!D123</f>
        <v>3000</v>
      </c>
      <c r="E122" s="15">
        <f>'Fritzøe - budsj 2020'!E124+'Fritzøe - budsjett service'!E123</f>
        <v>3000</v>
      </c>
      <c r="F122" s="15">
        <f>'Fritzøe - budsj 2020'!F124+'Fritzøe - budsjett service'!F123</f>
        <v>3000</v>
      </c>
      <c r="G122" s="15">
        <f>'Fritzøe - budsj 2020'!G124+'Fritzøe - budsjett service'!G123</f>
        <v>3000</v>
      </c>
      <c r="H122" s="15">
        <f>'Fritzøe - budsj 2020'!H124+'Fritzøe - budsjett service'!H123</f>
        <v>3000</v>
      </c>
      <c r="I122" s="15">
        <f>'Fritzøe - budsj 2020'!I124+'Fritzøe - budsjett service'!I123</f>
        <v>3000</v>
      </c>
      <c r="J122" s="15">
        <f>'Fritzøe - budsj 2020'!J124+'Fritzøe - budsjett service'!J123</f>
        <v>3000</v>
      </c>
      <c r="K122" s="15">
        <f>'Fritzøe - budsj 2020'!K124+'Fritzøe - budsjett service'!K123</f>
        <v>3000</v>
      </c>
      <c r="L122" s="15">
        <f>'Fritzøe - budsj 2020'!L124+'Fritzøe - budsjett service'!L123</f>
        <v>3000</v>
      </c>
      <c r="M122" s="15">
        <f>'Fritzøe - budsj 2020'!M124+'Fritzøe - budsjett service'!M123</f>
        <v>3000</v>
      </c>
      <c r="N122" s="15">
        <f>'Fritzøe - budsj 2020'!N124+'Fritzøe - budsjett service'!N123</f>
        <v>3000</v>
      </c>
      <c r="O122" s="15">
        <f>'Fritzøe - budsj 2020'!O124+'Fritzøe - budsjett service'!O123</f>
        <v>3000</v>
      </c>
      <c r="P122" s="15">
        <f>SUM(D122:O122)</f>
        <v>36000</v>
      </c>
    </row>
    <row r="123" spans="1:17" x14ac:dyDescent="0.3">
      <c r="A123" s="22">
        <v>7323</v>
      </c>
      <c r="B123" s="43" t="s">
        <v>101</v>
      </c>
      <c r="C123" s="14">
        <f>P123/$P$7</f>
        <v>8.496313944871516E-4</v>
      </c>
      <c r="D123" s="15">
        <f>'Fritzøe - budsj 2020'!D125+'Fritzøe - budsjett service'!D124</f>
        <v>4000</v>
      </c>
      <c r="E123" s="15">
        <f>'Fritzøe - budsj 2020'!E125+'Fritzøe - budsjett service'!E124</f>
        <v>4000</v>
      </c>
      <c r="F123" s="15">
        <f>'Fritzøe - budsj 2020'!F125+'Fritzøe - budsjett service'!F124</f>
        <v>4000</v>
      </c>
      <c r="G123" s="15">
        <f>'Fritzøe - budsj 2020'!G125+'Fritzøe - budsjett service'!G124</f>
        <v>4000</v>
      </c>
      <c r="H123" s="15">
        <f>'Fritzøe - budsj 2020'!H125+'Fritzøe - budsjett service'!H124</f>
        <v>4000</v>
      </c>
      <c r="I123" s="15">
        <f>'Fritzøe - budsj 2020'!I125+'Fritzøe - budsjett service'!I124</f>
        <v>4000</v>
      </c>
      <c r="J123" s="15">
        <f>'Fritzøe - budsj 2020'!J125+'Fritzøe - budsjett service'!J124</f>
        <v>4000</v>
      </c>
      <c r="K123" s="15">
        <f>'Fritzøe - budsj 2020'!K125+'Fritzøe - budsjett service'!K124</f>
        <v>4000</v>
      </c>
      <c r="L123" s="15">
        <f>'Fritzøe - budsj 2020'!L125+'Fritzøe - budsjett service'!L124</f>
        <v>4000</v>
      </c>
      <c r="M123" s="15">
        <f>'Fritzøe - budsj 2020'!M125+'Fritzøe - budsjett service'!M124</f>
        <v>4000</v>
      </c>
      <c r="N123" s="15">
        <f>'Fritzøe - budsj 2020'!N125+'Fritzøe - budsjett service'!N124</f>
        <v>4000</v>
      </c>
      <c r="O123" s="15">
        <f>'Fritzøe - budsj 2020'!O125+'Fritzøe - budsjett service'!O124</f>
        <v>4000</v>
      </c>
      <c r="P123" s="15">
        <f>SUM(D123:O123)</f>
        <v>48000</v>
      </c>
    </row>
    <row r="124" spans="1:17" s="7" customFormat="1" x14ac:dyDescent="0.3">
      <c r="A124" s="22">
        <v>7390</v>
      </c>
      <c r="B124" s="43" t="s">
        <v>102</v>
      </c>
      <c r="C124" s="14" t="e">
        <f>P124/$P$7</f>
        <v>#REF!</v>
      </c>
      <c r="D124" s="15" t="e">
        <f>'Fritzøe - budsj 2020'!#REF!+'Fritzøe - budsjett service'!D125</f>
        <v>#REF!</v>
      </c>
      <c r="E124" s="15" t="e">
        <f>'Fritzøe - budsj 2020'!#REF!+'Fritzøe - budsjett service'!E125</f>
        <v>#REF!</v>
      </c>
      <c r="F124" s="15" t="e">
        <f>'Fritzøe - budsj 2020'!#REF!+'Fritzøe - budsjett service'!F125</f>
        <v>#REF!</v>
      </c>
      <c r="G124" s="15" t="e">
        <f>'Fritzøe - budsj 2020'!#REF!+'Fritzøe - budsjett service'!G125</f>
        <v>#REF!</v>
      </c>
      <c r="H124" s="15" t="e">
        <f>'Fritzøe - budsj 2020'!#REF!+'Fritzøe - budsjett service'!H125</f>
        <v>#REF!</v>
      </c>
      <c r="I124" s="15" t="e">
        <f>'Fritzøe - budsj 2020'!#REF!+'Fritzøe - budsjett service'!I125</f>
        <v>#REF!</v>
      </c>
      <c r="J124" s="15" t="e">
        <f>'Fritzøe - budsj 2020'!#REF!+'Fritzøe - budsjett service'!J125</f>
        <v>#REF!</v>
      </c>
      <c r="K124" s="15" t="e">
        <f>'Fritzøe - budsj 2020'!#REF!+'Fritzøe - budsjett service'!K125</f>
        <v>#REF!</v>
      </c>
      <c r="L124" s="15" t="e">
        <f>'Fritzøe - budsj 2020'!#REF!+'Fritzøe - budsjett service'!L125</f>
        <v>#REF!</v>
      </c>
      <c r="M124" s="15" t="e">
        <f>'Fritzøe - budsj 2020'!#REF!+'Fritzøe - budsjett service'!M125</f>
        <v>#REF!</v>
      </c>
      <c r="N124" s="15" t="e">
        <f>'Fritzøe - budsj 2020'!#REF!+'Fritzøe - budsjett service'!N125</f>
        <v>#REF!</v>
      </c>
      <c r="O124" s="15" t="e">
        <f>'Fritzøe - budsj 2020'!#REF!+'Fritzøe - budsjett service'!O125</f>
        <v>#REF!</v>
      </c>
      <c r="P124" s="15" t="e">
        <f>SUM(D124:O124)</f>
        <v>#REF!</v>
      </c>
      <c r="Q124" s="84"/>
    </row>
    <row r="125" spans="1:17" s="7" customFormat="1" x14ac:dyDescent="0.3">
      <c r="A125" s="23"/>
      <c r="B125" s="20" t="s">
        <v>99</v>
      </c>
      <c r="C125" s="26" t="e">
        <f>P125/$P$7</f>
        <v>#REF!</v>
      </c>
      <c r="D125" s="17" t="e">
        <f t="shared" ref="D125:P125" si="25">SUM(D122:D124)</f>
        <v>#REF!</v>
      </c>
      <c r="E125" s="17" t="e">
        <f t="shared" si="25"/>
        <v>#REF!</v>
      </c>
      <c r="F125" s="17" t="e">
        <f t="shared" si="25"/>
        <v>#REF!</v>
      </c>
      <c r="G125" s="17" t="e">
        <f t="shared" si="25"/>
        <v>#REF!</v>
      </c>
      <c r="H125" s="17" t="e">
        <f t="shared" si="25"/>
        <v>#REF!</v>
      </c>
      <c r="I125" s="17" t="e">
        <f t="shared" si="25"/>
        <v>#REF!</v>
      </c>
      <c r="J125" s="17" t="e">
        <f t="shared" si="25"/>
        <v>#REF!</v>
      </c>
      <c r="K125" s="17" t="e">
        <f t="shared" si="25"/>
        <v>#REF!</v>
      </c>
      <c r="L125" s="17" t="e">
        <f t="shared" si="25"/>
        <v>#REF!</v>
      </c>
      <c r="M125" s="17" t="e">
        <f t="shared" si="25"/>
        <v>#REF!</v>
      </c>
      <c r="N125" s="17" t="e">
        <f t="shared" si="25"/>
        <v>#REF!</v>
      </c>
      <c r="O125" s="17" t="e">
        <f t="shared" si="25"/>
        <v>#REF!</v>
      </c>
      <c r="P125" s="17" t="e">
        <f t="shared" si="25"/>
        <v>#REF!</v>
      </c>
      <c r="Q125" s="84"/>
    </row>
    <row r="126" spans="1:17" s="7" customFormat="1" x14ac:dyDescent="0.3">
      <c r="A126" s="23"/>
      <c r="B126" s="23"/>
      <c r="C126" s="14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84"/>
    </row>
    <row r="127" spans="1:17" x14ac:dyDescent="0.3">
      <c r="A127" s="23" t="s">
        <v>103</v>
      </c>
      <c r="B127" s="21"/>
      <c r="C127" s="14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7" x14ac:dyDescent="0.3">
      <c r="A128" s="22">
        <v>7400</v>
      </c>
      <c r="B128" s="43" t="s">
        <v>192</v>
      </c>
      <c r="C128" s="14">
        <f>P128/$P$7</f>
        <v>3.1861177293268184E-4</v>
      </c>
      <c r="D128" s="15">
        <f>'Fritzøe - budsj 2020'!D129+'Fritzøe - budsjett service'!D129</f>
        <v>1500</v>
      </c>
      <c r="E128" s="15">
        <f>'Fritzøe - budsj 2020'!E129+'Fritzøe - budsjett service'!E129</f>
        <v>1500</v>
      </c>
      <c r="F128" s="15">
        <f>'Fritzøe - budsj 2020'!F129+'Fritzøe - budsjett service'!F129</f>
        <v>1500</v>
      </c>
      <c r="G128" s="15">
        <f>'Fritzøe - budsj 2020'!G129+'Fritzøe - budsjett service'!G129</f>
        <v>1500</v>
      </c>
      <c r="H128" s="15">
        <f>'Fritzøe - budsj 2020'!H129+'Fritzøe - budsjett service'!H129</f>
        <v>1500</v>
      </c>
      <c r="I128" s="15">
        <f>'Fritzøe - budsj 2020'!I129+'Fritzøe - budsjett service'!I129</f>
        <v>1500</v>
      </c>
      <c r="J128" s="15">
        <f>'Fritzøe - budsj 2020'!J129+'Fritzøe - budsjett service'!J129</f>
        <v>1500</v>
      </c>
      <c r="K128" s="15">
        <f>'Fritzøe - budsj 2020'!K129+'Fritzøe - budsjett service'!K129</f>
        <v>1500</v>
      </c>
      <c r="L128" s="15">
        <f>'Fritzøe - budsj 2020'!L129+'Fritzøe - budsjett service'!L129</f>
        <v>1500</v>
      </c>
      <c r="M128" s="15">
        <f>'Fritzøe - budsj 2020'!M129+'Fritzøe - budsjett service'!M129</f>
        <v>1500</v>
      </c>
      <c r="N128" s="15">
        <f>'Fritzøe - budsj 2020'!N129+'Fritzøe - budsjett service'!N129</f>
        <v>1500</v>
      </c>
      <c r="O128" s="15">
        <f>'Fritzøe - budsj 2020'!O129+'Fritzøe - budsjett service'!O129</f>
        <v>1500</v>
      </c>
      <c r="P128" s="15">
        <f>SUM(D128:O128)</f>
        <v>18000</v>
      </c>
    </row>
    <row r="129" spans="1:17" s="7" customFormat="1" x14ac:dyDescent="0.3">
      <c r="A129" s="23"/>
      <c r="B129" s="20" t="s">
        <v>104</v>
      </c>
      <c r="C129" s="26">
        <f>P129/$P$7</f>
        <v>3.1861177293268184E-4</v>
      </c>
      <c r="D129" s="17">
        <f t="shared" ref="D129:P129" si="26">SUM(D128:D128)</f>
        <v>1500</v>
      </c>
      <c r="E129" s="17">
        <f t="shared" si="26"/>
        <v>1500</v>
      </c>
      <c r="F129" s="17">
        <f t="shared" si="26"/>
        <v>1500</v>
      </c>
      <c r="G129" s="17">
        <f t="shared" si="26"/>
        <v>1500</v>
      </c>
      <c r="H129" s="17">
        <f t="shared" si="26"/>
        <v>1500</v>
      </c>
      <c r="I129" s="17">
        <f t="shared" si="26"/>
        <v>1500</v>
      </c>
      <c r="J129" s="17">
        <f t="shared" si="26"/>
        <v>1500</v>
      </c>
      <c r="K129" s="17">
        <f t="shared" si="26"/>
        <v>1500</v>
      </c>
      <c r="L129" s="17">
        <f t="shared" si="26"/>
        <v>1500</v>
      </c>
      <c r="M129" s="17">
        <f t="shared" si="26"/>
        <v>1500</v>
      </c>
      <c r="N129" s="17">
        <f t="shared" si="26"/>
        <v>1500</v>
      </c>
      <c r="O129" s="17">
        <f t="shared" si="26"/>
        <v>1500</v>
      </c>
      <c r="P129" s="17">
        <f t="shared" si="26"/>
        <v>18000</v>
      </c>
      <c r="Q129" s="84"/>
    </row>
    <row r="130" spans="1:17" s="7" customFormat="1" x14ac:dyDescent="0.3">
      <c r="A130" s="23"/>
      <c r="B130" s="23"/>
      <c r="C130" s="14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84"/>
    </row>
    <row r="131" spans="1:17" x14ac:dyDescent="0.3">
      <c r="A131" s="23" t="s">
        <v>106</v>
      </c>
      <c r="B131" s="21"/>
      <c r="C131" s="14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7" x14ac:dyDescent="0.3">
      <c r="A132" s="22">
        <v>7500</v>
      </c>
      <c r="B132" s="43" t="s">
        <v>107</v>
      </c>
      <c r="C132" s="14">
        <f>P132/$P$7</f>
        <v>2.7613020320832425E-3</v>
      </c>
      <c r="D132" s="15">
        <f>'Fritzøe - budsj 2020'!D133+'Fritzøe - budsjett service'!D133</f>
        <v>13000</v>
      </c>
      <c r="E132" s="15">
        <f>'Fritzøe - budsj 2020'!E133+'Fritzøe - budsjett service'!E133</f>
        <v>13000</v>
      </c>
      <c r="F132" s="15">
        <f>'Fritzøe - budsj 2020'!F133+'Fritzøe - budsjett service'!F133</f>
        <v>13000</v>
      </c>
      <c r="G132" s="15">
        <f>'Fritzøe - budsj 2020'!G133+'Fritzøe - budsjett service'!G133</f>
        <v>13000</v>
      </c>
      <c r="H132" s="15">
        <f>'Fritzøe - budsj 2020'!H133+'Fritzøe - budsjett service'!H133</f>
        <v>13000</v>
      </c>
      <c r="I132" s="15">
        <f>'Fritzøe - budsj 2020'!I133+'Fritzøe - budsjett service'!I133</f>
        <v>13000</v>
      </c>
      <c r="J132" s="15">
        <f>'Fritzøe - budsj 2020'!J133+'Fritzøe - budsjett service'!J133</f>
        <v>13000</v>
      </c>
      <c r="K132" s="15">
        <f>'Fritzøe - budsj 2020'!K133+'Fritzøe - budsjett service'!K133</f>
        <v>13000</v>
      </c>
      <c r="L132" s="15">
        <f>'Fritzøe - budsj 2020'!L133+'Fritzøe - budsjett service'!L133</f>
        <v>13000</v>
      </c>
      <c r="M132" s="15">
        <f>'Fritzøe - budsj 2020'!M133+'Fritzøe - budsjett service'!M133</f>
        <v>13000</v>
      </c>
      <c r="N132" s="15">
        <f>'Fritzøe - budsj 2020'!N133+'Fritzøe - budsjett service'!N133</f>
        <v>13000</v>
      </c>
      <c r="O132" s="15">
        <f>'Fritzøe - budsj 2020'!O133+'Fritzøe - budsjett service'!O133</f>
        <v>13000</v>
      </c>
      <c r="P132" s="15">
        <f>SUM(D132:O132)</f>
        <v>156000</v>
      </c>
    </row>
    <row r="133" spans="1:17" s="7" customFormat="1" x14ac:dyDescent="0.3">
      <c r="A133" s="23"/>
      <c r="B133" s="20" t="s">
        <v>108</v>
      </c>
      <c r="C133" s="26">
        <f>P133/$P$7</f>
        <v>2.7613020320832425E-3</v>
      </c>
      <c r="D133" s="17">
        <f t="shared" ref="D133:P133" si="27">SUM(D132:D132)</f>
        <v>13000</v>
      </c>
      <c r="E133" s="17">
        <f t="shared" si="27"/>
        <v>13000</v>
      </c>
      <c r="F133" s="17">
        <f t="shared" si="27"/>
        <v>13000</v>
      </c>
      <c r="G133" s="17">
        <f t="shared" si="27"/>
        <v>13000</v>
      </c>
      <c r="H133" s="17">
        <f t="shared" si="27"/>
        <v>13000</v>
      </c>
      <c r="I133" s="17">
        <f t="shared" si="27"/>
        <v>13000</v>
      </c>
      <c r="J133" s="17">
        <f t="shared" si="27"/>
        <v>13000</v>
      </c>
      <c r="K133" s="17">
        <f t="shared" si="27"/>
        <v>13000</v>
      </c>
      <c r="L133" s="17">
        <f t="shared" si="27"/>
        <v>13000</v>
      </c>
      <c r="M133" s="17">
        <f t="shared" si="27"/>
        <v>13000</v>
      </c>
      <c r="N133" s="17">
        <f t="shared" si="27"/>
        <v>13000</v>
      </c>
      <c r="O133" s="17">
        <f t="shared" si="27"/>
        <v>13000</v>
      </c>
      <c r="P133" s="17">
        <f t="shared" si="27"/>
        <v>156000</v>
      </c>
      <c r="Q133" s="84"/>
    </row>
    <row r="134" spans="1:17" s="7" customFormat="1" x14ac:dyDescent="0.3">
      <c r="A134" s="23"/>
      <c r="B134" s="23"/>
      <c r="C134" s="14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84"/>
    </row>
    <row r="135" spans="1:17" x14ac:dyDescent="0.3">
      <c r="A135" s="23" t="s">
        <v>109</v>
      </c>
      <c r="B135" s="21"/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7" x14ac:dyDescent="0.3">
      <c r="A136" s="22">
        <v>7550</v>
      </c>
      <c r="B136" s="43" t="s">
        <v>155</v>
      </c>
      <c r="C136" s="14">
        <f t="shared" ref="C136:C141" si="28">P136/$P$7</f>
        <v>9.5583531879804551E-4</v>
      </c>
      <c r="D136" s="15">
        <f>'Fritzøe - budsj 2020'!D137+'Fritzøe - budsjett service'!D137</f>
        <v>4500</v>
      </c>
      <c r="E136" s="15">
        <f>'Fritzøe - budsj 2020'!E137+'Fritzøe - budsjett service'!E137</f>
        <v>4500</v>
      </c>
      <c r="F136" s="15">
        <f>'Fritzøe - budsj 2020'!F137+'Fritzøe - budsjett service'!F137</f>
        <v>4500</v>
      </c>
      <c r="G136" s="15">
        <f>'Fritzøe - budsj 2020'!G137+'Fritzøe - budsjett service'!G137</f>
        <v>4500</v>
      </c>
      <c r="H136" s="15">
        <f>'Fritzøe - budsj 2020'!H137+'Fritzøe - budsjett service'!H137</f>
        <v>4500</v>
      </c>
      <c r="I136" s="15">
        <f>'Fritzøe - budsj 2020'!I137+'Fritzøe - budsjett service'!I137</f>
        <v>4500</v>
      </c>
      <c r="J136" s="15">
        <f>'Fritzøe - budsj 2020'!J137+'Fritzøe - budsjett service'!J137</f>
        <v>4500</v>
      </c>
      <c r="K136" s="15">
        <f>'Fritzøe - budsj 2020'!K137+'Fritzøe - budsjett service'!K137</f>
        <v>4500</v>
      </c>
      <c r="L136" s="15">
        <f>'Fritzøe - budsj 2020'!L137+'Fritzøe - budsjett service'!L137</f>
        <v>4500</v>
      </c>
      <c r="M136" s="15">
        <f>'Fritzøe - budsj 2020'!M137+'Fritzøe - budsjett service'!M137</f>
        <v>4500</v>
      </c>
      <c r="N136" s="15">
        <f>'Fritzøe - budsj 2020'!N137+'Fritzøe - budsjett service'!N137</f>
        <v>4500</v>
      </c>
      <c r="O136" s="15">
        <f>'Fritzøe - budsj 2020'!O137+'Fritzøe - budsjett service'!O137</f>
        <v>4500</v>
      </c>
      <c r="P136" s="15">
        <f>SUM(D136:O136)</f>
        <v>54000</v>
      </c>
    </row>
    <row r="137" spans="1:17" x14ac:dyDescent="0.3">
      <c r="A137" s="22">
        <v>7560</v>
      </c>
      <c r="B137" s="43" t="s">
        <v>193</v>
      </c>
      <c r="C137" s="14">
        <f t="shared" si="28"/>
        <v>2.2586034570116777E-3</v>
      </c>
      <c r="D137" s="15">
        <f>'Fritzøe - budsj 2020'!D138+'Fritzøe - budsjett service'!D138</f>
        <v>10633.333333333334</v>
      </c>
      <c r="E137" s="15">
        <f>'Fritzøe - budsj 2020'!E138+'Fritzøe - budsjett service'!E138</f>
        <v>10633.333333333334</v>
      </c>
      <c r="F137" s="15">
        <f>'Fritzøe - budsj 2020'!F138+'Fritzøe - budsjett service'!F138</f>
        <v>10633.333333333334</v>
      </c>
      <c r="G137" s="15">
        <f>'Fritzøe - budsj 2020'!G138+'Fritzøe - budsjett service'!G138</f>
        <v>10633.333333333334</v>
      </c>
      <c r="H137" s="15">
        <f>'Fritzøe - budsj 2020'!H138+'Fritzøe - budsjett service'!H138</f>
        <v>10633.333333333334</v>
      </c>
      <c r="I137" s="15">
        <f>'Fritzøe - budsj 2020'!I138+'Fritzøe - budsjett service'!I138</f>
        <v>10633.333333333334</v>
      </c>
      <c r="J137" s="15">
        <f>'Fritzøe - budsj 2020'!J138+'Fritzøe - budsjett service'!J138</f>
        <v>10633.333333333334</v>
      </c>
      <c r="K137" s="15">
        <f>'Fritzøe - budsj 2020'!K138+'Fritzøe - budsjett service'!K138</f>
        <v>10633.333333333334</v>
      </c>
      <c r="L137" s="15">
        <f>'Fritzøe - budsj 2020'!L138+'Fritzøe - budsjett service'!L138</f>
        <v>10633.333333333334</v>
      </c>
      <c r="M137" s="15">
        <f>'Fritzøe - budsj 2020'!M138+'Fritzøe - budsjett service'!M138</f>
        <v>10633.333333333334</v>
      </c>
      <c r="N137" s="15">
        <f>'Fritzøe - budsj 2020'!N138+'Fritzøe - budsjett service'!N138</f>
        <v>10633.333333333334</v>
      </c>
      <c r="O137" s="15">
        <f>'Fritzøe - budsj 2020'!O138+'Fritzøe - budsjett service'!O138</f>
        <v>10633.333333333334</v>
      </c>
      <c r="P137" s="15">
        <f>SUM(D137:O137)</f>
        <v>127599.99999999999</v>
      </c>
    </row>
    <row r="138" spans="1:17" x14ac:dyDescent="0.3">
      <c r="A138" s="22">
        <v>7710</v>
      </c>
      <c r="B138" s="43" t="s">
        <v>111</v>
      </c>
      <c r="C138" s="14">
        <f t="shared" si="28"/>
        <v>2.124078486217879E-4</v>
      </c>
      <c r="D138" s="15">
        <f>'Fritzøe - budsj 2020'!D139+'Fritzøe - budsjett service'!D139</f>
        <v>1000</v>
      </c>
      <c r="E138" s="15">
        <f>'Fritzøe - budsj 2020'!E139+'Fritzøe - budsjett service'!E139</f>
        <v>1000</v>
      </c>
      <c r="F138" s="15">
        <f>'Fritzøe - budsj 2020'!F139+'Fritzøe - budsjett service'!F139</f>
        <v>1000</v>
      </c>
      <c r="G138" s="15">
        <f>'Fritzøe - budsj 2020'!G139+'Fritzøe - budsjett service'!G139</f>
        <v>1000</v>
      </c>
      <c r="H138" s="15">
        <f>'Fritzøe - budsj 2020'!H139+'Fritzøe - budsjett service'!H139</f>
        <v>1000</v>
      </c>
      <c r="I138" s="15">
        <f>'Fritzøe - budsj 2020'!I139+'Fritzøe - budsjett service'!I139</f>
        <v>1000</v>
      </c>
      <c r="J138" s="15">
        <f>'Fritzøe - budsj 2020'!J139+'Fritzøe - budsjett service'!J139</f>
        <v>1000</v>
      </c>
      <c r="K138" s="15">
        <f>'Fritzøe - budsj 2020'!K139+'Fritzøe - budsjett service'!K139</f>
        <v>1000</v>
      </c>
      <c r="L138" s="15">
        <f>'Fritzøe - budsj 2020'!L139+'Fritzøe - budsjett service'!L139</f>
        <v>1000</v>
      </c>
      <c r="M138" s="15">
        <f>'Fritzøe - budsj 2020'!M139+'Fritzøe - budsjett service'!M139</f>
        <v>1000</v>
      </c>
      <c r="N138" s="15">
        <f>'Fritzøe - budsj 2020'!N139+'Fritzøe - budsjett service'!N139</f>
        <v>1000</v>
      </c>
      <c r="O138" s="15">
        <f>'Fritzøe - budsj 2020'!O139+'Fritzøe - budsjett service'!O139</f>
        <v>1000</v>
      </c>
      <c r="P138" s="15">
        <f>SUM(D138:O138)</f>
        <v>12000</v>
      </c>
    </row>
    <row r="139" spans="1:17" x14ac:dyDescent="0.3">
      <c r="A139" s="22">
        <v>7770</v>
      </c>
      <c r="B139" s="43" t="s">
        <v>112</v>
      </c>
      <c r="C139" s="14">
        <f t="shared" si="28"/>
        <v>6.3722354586536367E-4</v>
      </c>
      <c r="D139" s="15">
        <f>'Fritzøe - budsj 2020'!D140+'Fritzøe - budsjett service'!D140</f>
        <v>3000</v>
      </c>
      <c r="E139" s="15">
        <f>'Fritzøe - budsj 2020'!E140+'Fritzøe - budsjett service'!E140</f>
        <v>3000</v>
      </c>
      <c r="F139" s="15">
        <f>'Fritzøe - budsj 2020'!F140+'Fritzøe - budsjett service'!F140</f>
        <v>3000</v>
      </c>
      <c r="G139" s="15">
        <f>'Fritzøe - budsj 2020'!G140+'Fritzøe - budsjett service'!G140</f>
        <v>3000</v>
      </c>
      <c r="H139" s="15">
        <f>'Fritzøe - budsj 2020'!H140+'Fritzøe - budsjett service'!H140</f>
        <v>3000</v>
      </c>
      <c r="I139" s="15">
        <f>'Fritzøe - budsj 2020'!I140+'Fritzøe - budsjett service'!I140</f>
        <v>3000</v>
      </c>
      <c r="J139" s="15">
        <f>'Fritzøe - budsj 2020'!J140+'Fritzøe - budsjett service'!J140</f>
        <v>3000</v>
      </c>
      <c r="K139" s="15">
        <f>'Fritzøe - budsj 2020'!K140+'Fritzøe - budsjett service'!K140</f>
        <v>3000</v>
      </c>
      <c r="L139" s="15">
        <f>'Fritzøe - budsj 2020'!L140+'Fritzøe - budsjett service'!L140</f>
        <v>3000</v>
      </c>
      <c r="M139" s="15">
        <f>'Fritzøe - budsj 2020'!M140+'Fritzøe - budsjett service'!M140</f>
        <v>3000</v>
      </c>
      <c r="N139" s="15">
        <f>'Fritzøe - budsj 2020'!N140+'Fritzøe - budsjett service'!N140</f>
        <v>3000</v>
      </c>
      <c r="O139" s="15">
        <f>'Fritzøe - budsj 2020'!O140+'Fritzøe - budsjett service'!O140</f>
        <v>3000</v>
      </c>
      <c r="P139" s="15">
        <f>SUM(D139:O139)</f>
        <v>36000</v>
      </c>
    </row>
    <row r="140" spans="1:17" s="7" customFormat="1" x14ac:dyDescent="0.3">
      <c r="A140" s="22">
        <v>7790</v>
      </c>
      <c r="B140" s="43" t="s">
        <v>113</v>
      </c>
      <c r="C140" s="14">
        <f t="shared" si="28"/>
        <v>3.1861177293268184E-4</v>
      </c>
      <c r="D140" s="15">
        <f>'Fritzøe - budsj 2020'!D141+'Fritzøe - budsjett service'!D141</f>
        <v>1500</v>
      </c>
      <c r="E140" s="15">
        <f>'Fritzøe - budsj 2020'!E141+'Fritzøe - budsjett service'!E141</f>
        <v>1500</v>
      </c>
      <c r="F140" s="15">
        <f>'Fritzøe - budsj 2020'!F141+'Fritzøe - budsjett service'!F141</f>
        <v>1500</v>
      </c>
      <c r="G140" s="15">
        <f>'Fritzøe - budsj 2020'!G141+'Fritzøe - budsjett service'!G141</f>
        <v>1500</v>
      </c>
      <c r="H140" s="15">
        <f>'Fritzøe - budsj 2020'!H141+'Fritzøe - budsjett service'!H141</f>
        <v>1500</v>
      </c>
      <c r="I140" s="15">
        <f>'Fritzøe - budsj 2020'!I141+'Fritzøe - budsjett service'!I141</f>
        <v>1500</v>
      </c>
      <c r="J140" s="15">
        <f>'Fritzøe - budsj 2020'!J141+'Fritzøe - budsjett service'!J141</f>
        <v>1500</v>
      </c>
      <c r="K140" s="15">
        <f>'Fritzøe - budsj 2020'!K141+'Fritzøe - budsjett service'!K141</f>
        <v>1500</v>
      </c>
      <c r="L140" s="15">
        <f>'Fritzøe - budsj 2020'!L141+'Fritzøe - budsjett service'!L141</f>
        <v>1500</v>
      </c>
      <c r="M140" s="15">
        <f>'Fritzøe - budsj 2020'!M141+'Fritzøe - budsjett service'!M141</f>
        <v>1500</v>
      </c>
      <c r="N140" s="15">
        <f>'Fritzøe - budsj 2020'!N141+'Fritzøe - budsjett service'!N141</f>
        <v>1500</v>
      </c>
      <c r="O140" s="15">
        <f>'Fritzøe - budsj 2020'!O141+'Fritzøe - budsjett service'!O141</f>
        <v>1500</v>
      </c>
      <c r="P140" s="15">
        <f>SUM(D140:O140)</f>
        <v>18000</v>
      </c>
      <c r="Q140" s="84"/>
    </row>
    <row r="141" spans="1:17" s="7" customFormat="1" x14ac:dyDescent="0.3">
      <c r="A141" s="23"/>
      <c r="B141" s="20" t="s">
        <v>110</v>
      </c>
      <c r="C141" s="26">
        <f t="shared" si="28"/>
        <v>1.1682431674198334E-3</v>
      </c>
      <c r="D141" s="17">
        <f t="shared" ref="D141:P141" si="29">SUM(D138:D140)</f>
        <v>5500</v>
      </c>
      <c r="E141" s="17">
        <f t="shared" si="29"/>
        <v>5500</v>
      </c>
      <c r="F141" s="17">
        <f t="shared" si="29"/>
        <v>5500</v>
      </c>
      <c r="G141" s="17">
        <f t="shared" si="29"/>
        <v>5500</v>
      </c>
      <c r="H141" s="17">
        <f t="shared" si="29"/>
        <v>5500</v>
      </c>
      <c r="I141" s="17">
        <f t="shared" si="29"/>
        <v>5500</v>
      </c>
      <c r="J141" s="17">
        <f t="shared" si="29"/>
        <v>5500</v>
      </c>
      <c r="K141" s="17">
        <f t="shared" si="29"/>
        <v>5500</v>
      </c>
      <c r="L141" s="17">
        <f t="shared" si="29"/>
        <v>5500</v>
      </c>
      <c r="M141" s="17">
        <f t="shared" si="29"/>
        <v>5500</v>
      </c>
      <c r="N141" s="17">
        <f t="shared" si="29"/>
        <v>5500</v>
      </c>
      <c r="O141" s="17">
        <f t="shared" si="29"/>
        <v>5500</v>
      </c>
      <c r="P141" s="17">
        <f t="shared" si="29"/>
        <v>66000</v>
      </c>
      <c r="Q141" s="84"/>
    </row>
    <row r="142" spans="1:17" s="7" customFormat="1" x14ac:dyDescent="0.3">
      <c r="A142" s="23"/>
      <c r="B142" s="23"/>
      <c r="C142" s="14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84"/>
    </row>
    <row r="143" spans="1:17" x14ac:dyDescent="0.3">
      <c r="A143" s="23" t="s">
        <v>115</v>
      </c>
      <c r="B143" s="21"/>
      <c r="C143" s="14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7" x14ac:dyDescent="0.3">
      <c r="A144" s="22">
        <v>7830</v>
      </c>
      <c r="B144" s="43" t="s">
        <v>50</v>
      </c>
      <c r="C144" s="14">
        <f>P144/$P$7</f>
        <v>1.1682431674198334E-3</v>
      </c>
      <c r="D144" s="15">
        <f>'Fritzøe - budsj 2020'!D145+'Fritzøe - budsjett service'!D145</f>
        <v>5500</v>
      </c>
      <c r="E144" s="15">
        <f t="shared" ref="E144:O144" si="30">D144</f>
        <v>5500</v>
      </c>
      <c r="F144" s="15">
        <f t="shared" si="30"/>
        <v>5500</v>
      </c>
      <c r="G144" s="15">
        <f t="shared" si="30"/>
        <v>5500</v>
      </c>
      <c r="H144" s="15">
        <f t="shared" si="30"/>
        <v>5500</v>
      </c>
      <c r="I144" s="15">
        <f t="shared" si="30"/>
        <v>5500</v>
      </c>
      <c r="J144" s="15">
        <f t="shared" si="30"/>
        <v>5500</v>
      </c>
      <c r="K144" s="15">
        <f t="shared" si="30"/>
        <v>5500</v>
      </c>
      <c r="L144" s="15">
        <f t="shared" si="30"/>
        <v>5500</v>
      </c>
      <c r="M144" s="15">
        <f t="shared" si="30"/>
        <v>5500</v>
      </c>
      <c r="N144" s="15">
        <f t="shared" si="30"/>
        <v>5500</v>
      </c>
      <c r="O144" s="15">
        <f t="shared" si="30"/>
        <v>5500</v>
      </c>
      <c r="P144" s="15">
        <f>SUM(D144:O144)</f>
        <v>66000</v>
      </c>
    </row>
    <row r="145" spans="1:17" s="7" customFormat="1" x14ac:dyDescent="0.3">
      <c r="A145" s="23"/>
      <c r="B145" s="20" t="s">
        <v>116</v>
      </c>
      <c r="C145" s="26">
        <f>P145/$P$7</f>
        <v>1.1682431674198334E-3</v>
      </c>
      <c r="D145" s="17">
        <f t="shared" ref="D145:P145" si="31">SUM(D144:D144)</f>
        <v>5500</v>
      </c>
      <c r="E145" s="17">
        <f t="shared" si="31"/>
        <v>5500</v>
      </c>
      <c r="F145" s="17">
        <f t="shared" si="31"/>
        <v>5500</v>
      </c>
      <c r="G145" s="17">
        <f t="shared" si="31"/>
        <v>5500</v>
      </c>
      <c r="H145" s="17">
        <f t="shared" si="31"/>
        <v>5500</v>
      </c>
      <c r="I145" s="17">
        <f t="shared" si="31"/>
        <v>5500</v>
      </c>
      <c r="J145" s="17">
        <f t="shared" si="31"/>
        <v>5500</v>
      </c>
      <c r="K145" s="17">
        <f t="shared" si="31"/>
        <v>5500</v>
      </c>
      <c r="L145" s="17">
        <f t="shared" si="31"/>
        <v>5500</v>
      </c>
      <c r="M145" s="17">
        <f t="shared" si="31"/>
        <v>5500</v>
      </c>
      <c r="N145" s="17">
        <f t="shared" si="31"/>
        <v>5500</v>
      </c>
      <c r="O145" s="17">
        <f t="shared" si="31"/>
        <v>5500</v>
      </c>
      <c r="P145" s="17">
        <f t="shared" si="31"/>
        <v>66000</v>
      </c>
      <c r="Q145" s="84"/>
    </row>
    <row r="146" spans="1:17" s="7" customFormat="1" x14ac:dyDescent="0.3">
      <c r="A146" s="23"/>
      <c r="B146" s="23"/>
      <c r="C146" s="14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84"/>
    </row>
    <row r="147" spans="1:17" s="7" customFormat="1" x14ac:dyDescent="0.3">
      <c r="A147" s="23"/>
      <c r="B147" s="23" t="s">
        <v>259</v>
      </c>
      <c r="C147" s="14"/>
      <c r="D147" s="16" t="e">
        <f t="shared" ref="D147:P147" si="32">D145+D141+D133+D129+D125+D119+D112+D105+D97+D90+D86+D77+D61+D54</f>
        <v>#REF!</v>
      </c>
      <c r="E147" s="16" t="e">
        <f t="shared" si="32"/>
        <v>#REF!</v>
      </c>
      <c r="F147" s="16" t="e">
        <f t="shared" si="32"/>
        <v>#REF!</v>
      </c>
      <c r="G147" s="16" t="e">
        <f t="shared" si="32"/>
        <v>#REF!</v>
      </c>
      <c r="H147" s="16" t="e">
        <f t="shared" si="32"/>
        <v>#REF!</v>
      </c>
      <c r="I147" s="16" t="e">
        <f t="shared" si="32"/>
        <v>#REF!</v>
      </c>
      <c r="J147" s="16" t="e">
        <f t="shared" si="32"/>
        <v>#REF!</v>
      </c>
      <c r="K147" s="16" t="e">
        <f t="shared" si="32"/>
        <v>#REF!</v>
      </c>
      <c r="L147" s="16" t="e">
        <f t="shared" si="32"/>
        <v>#REF!</v>
      </c>
      <c r="M147" s="16" t="e">
        <f t="shared" si="32"/>
        <v>#REF!</v>
      </c>
      <c r="N147" s="16" t="e">
        <f t="shared" si="32"/>
        <v>#REF!</v>
      </c>
      <c r="O147" s="16" t="e">
        <f t="shared" si="32"/>
        <v>#REF!</v>
      </c>
      <c r="P147" s="16" t="e">
        <f t="shared" si="32"/>
        <v>#REF!</v>
      </c>
      <c r="Q147" s="108"/>
    </row>
    <row r="148" spans="1:17" x14ac:dyDescent="0.3">
      <c r="A148" s="23"/>
      <c r="B148" s="24"/>
      <c r="C148" s="18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</row>
    <row r="149" spans="1:17" x14ac:dyDescent="0.3">
      <c r="A149" s="23" t="s">
        <v>16</v>
      </c>
      <c r="B149" s="24"/>
      <c r="C149" s="14" t="e">
        <f t="shared" ref="C149:C158" si="33">P149/$P$7</f>
        <v>#REF!</v>
      </c>
      <c r="D149" s="16" t="e">
        <f t="shared" ref="D149:P149" si="34">D50-D147</f>
        <v>#REF!</v>
      </c>
      <c r="E149" s="16" t="e">
        <f t="shared" si="34"/>
        <v>#REF!</v>
      </c>
      <c r="F149" s="16" t="e">
        <f t="shared" si="34"/>
        <v>#REF!</v>
      </c>
      <c r="G149" s="16" t="e">
        <f t="shared" si="34"/>
        <v>#REF!</v>
      </c>
      <c r="H149" s="16" t="e">
        <f t="shared" si="34"/>
        <v>#REF!</v>
      </c>
      <c r="I149" s="16" t="e">
        <f t="shared" si="34"/>
        <v>#REF!</v>
      </c>
      <c r="J149" s="16" t="e">
        <f t="shared" si="34"/>
        <v>#REF!</v>
      </c>
      <c r="K149" s="16" t="e">
        <f t="shared" si="34"/>
        <v>#REF!</v>
      </c>
      <c r="L149" s="16" t="e">
        <f t="shared" si="34"/>
        <v>#REF!</v>
      </c>
      <c r="M149" s="16" t="e">
        <f t="shared" si="34"/>
        <v>#REF!</v>
      </c>
      <c r="N149" s="16" t="e">
        <f t="shared" si="34"/>
        <v>#REF!</v>
      </c>
      <c r="O149" s="16" t="e">
        <f t="shared" si="34"/>
        <v>#REF!</v>
      </c>
      <c r="P149" s="16" t="e">
        <f t="shared" si="34"/>
        <v>#REF!</v>
      </c>
      <c r="Q149" s="108" t="e">
        <f>P149/P7</f>
        <v>#REF!</v>
      </c>
    </row>
    <row r="150" spans="1:17" x14ac:dyDescent="0.3">
      <c r="A150" s="29"/>
      <c r="B150" s="21"/>
      <c r="C150" s="14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7" x14ac:dyDescent="0.3">
      <c r="A151" s="23" t="s">
        <v>17</v>
      </c>
      <c r="B151" s="21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7" ht="11.25" customHeight="1" outlineLevel="1" x14ac:dyDescent="0.3">
      <c r="A152" s="22">
        <v>8050</v>
      </c>
      <c r="B152" s="21" t="s">
        <v>51</v>
      </c>
      <c r="C152" s="14">
        <f t="shared" si="33"/>
        <v>-1.0620392431089395E-4</v>
      </c>
      <c r="D152" s="15">
        <v>-500</v>
      </c>
      <c r="E152" s="15">
        <f>D152</f>
        <v>-500</v>
      </c>
      <c r="F152" s="15">
        <f t="shared" ref="F152:O155" si="35">E152</f>
        <v>-500</v>
      </c>
      <c r="G152" s="15">
        <f t="shared" si="35"/>
        <v>-500</v>
      </c>
      <c r="H152" s="15">
        <f t="shared" si="35"/>
        <v>-500</v>
      </c>
      <c r="I152" s="15">
        <f t="shared" si="35"/>
        <v>-500</v>
      </c>
      <c r="J152" s="15">
        <f t="shared" si="35"/>
        <v>-500</v>
      </c>
      <c r="K152" s="15">
        <f t="shared" si="35"/>
        <v>-500</v>
      </c>
      <c r="L152" s="15">
        <f t="shared" si="35"/>
        <v>-500</v>
      </c>
      <c r="M152" s="15">
        <f t="shared" si="35"/>
        <v>-500</v>
      </c>
      <c r="N152" s="15">
        <f t="shared" si="35"/>
        <v>-500</v>
      </c>
      <c r="O152" s="15">
        <f t="shared" si="35"/>
        <v>-500</v>
      </c>
      <c r="P152" s="15">
        <f>SUM(D152:O152)</f>
        <v>-6000</v>
      </c>
    </row>
    <row r="153" spans="1:17" outlineLevel="1" x14ac:dyDescent="0.3">
      <c r="A153" s="22">
        <v>8150</v>
      </c>
      <c r="B153" s="21" t="s">
        <v>52</v>
      </c>
      <c r="C153" s="14">
        <f t="shared" si="33"/>
        <v>6.3722354586536367E-4</v>
      </c>
      <c r="D153" s="15">
        <v>3000</v>
      </c>
      <c r="E153" s="15">
        <f>D153</f>
        <v>3000</v>
      </c>
      <c r="F153" s="15">
        <f t="shared" si="35"/>
        <v>3000</v>
      </c>
      <c r="G153" s="15">
        <f t="shared" si="35"/>
        <v>3000</v>
      </c>
      <c r="H153" s="15">
        <f t="shared" si="35"/>
        <v>3000</v>
      </c>
      <c r="I153" s="15">
        <f t="shared" si="35"/>
        <v>3000</v>
      </c>
      <c r="J153" s="15">
        <f t="shared" si="35"/>
        <v>3000</v>
      </c>
      <c r="K153" s="15">
        <f t="shared" si="35"/>
        <v>3000</v>
      </c>
      <c r="L153" s="15">
        <f t="shared" si="35"/>
        <v>3000</v>
      </c>
      <c r="M153" s="15">
        <f t="shared" si="35"/>
        <v>3000</v>
      </c>
      <c r="N153" s="15">
        <f t="shared" si="35"/>
        <v>3000</v>
      </c>
      <c r="O153" s="15">
        <f t="shared" si="35"/>
        <v>3000</v>
      </c>
      <c r="P153" s="15">
        <f>SUM(D153:O153)</f>
        <v>36000</v>
      </c>
    </row>
    <row r="154" spans="1:17" outlineLevel="1" x14ac:dyDescent="0.3">
      <c r="A154" s="22">
        <v>8154</v>
      </c>
      <c r="B154" s="43" t="s">
        <v>117</v>
      </c>
      <c r="C154" s="14">
        <f>P154/$P$7</f>
        <v>2.124078486217879E-4</v>
      </c>
      <c r="D154" s="15">
        <v>1000</v>
      </c>
      <c r="E154" s="15">
        <f>D154</f>
        <v>1000</v>
      </c>
      <c r="F154" s="15">
        <f t="shared" si="35"/>
        <v>1000</v>
      </c>
      <c r="G154" s="15">
        <f t="shared" si="35"/>
        <v>1000</v>
      </c>
      <c r="H154" s="15">
        <f t="shared" si="35"/>
        <v>1000</v>
      </c>
      <c r="I154" s="15">
        <f t="shared" si="35"/>
        <v>1000</v>
      </c>
      <c r="J154" s="15">
        <f t="shared" si="35"/>
        <v>1000</v>
      </c>
      <c r="K154" s="15">
        <f t="shared" si="35"/>
        <v>1000</v>
      </c>
      <c r="L154" s="15">
        <f t="shared" si="35"/>
        <v>1000</v>
      </c>
      <c r="M154" s="15">
        <f t="shared" si="35"/>
        <v>1000</v>
      </c>
      <c r="N154" s="15">
        <f t="shared" si="35"/>
        <v>1000</v>
      </c>
      <c r="O154" s="15">
        <f t="shared" si="35"/>
        <v>1000</v>
      </c>
      <c r="P154" s="15">
        <f>SUM(D154:O154)</f>
        <v>12000</v>
      </c>
    </row>
    <row r="155" spans="1:17" outlineLevel="1" x14ac:dyDescent="0.3">
      <c r="A155" s="22">
        <v>8155</v>
      </c>
      <c r="B155" s="43" t="s">
        <v>118</v>
      </c>
      <c r="C155" s="14">
        <f t="shared" si="33"/>
        <v>2.124078486217879E-4</v>
      </c>
      <c r="D155" s="15">
        <v>1000</v>
      </c>
      <c r="E155" s="15">
        <f>D155</f>
        <v>1000</v>
      </c>
      <c r="F155" s="15">
        <f t="shared" si="35"/>
        <v>1000</v>
      </c>
      <c r="G155" s="15">
        <f t="shared" si="35"/>
        <v>1000</v>
      </c>
      <c r="H155" s="15">
        <f t="shared" si="35"/>
        <v>1000</v>
      </c>
      <c r="I155" s="15">
        <f t="shared" si="35"/>
        <v>1000</v>
      </c>
      <c r="J155" s="15">
        <f t="shared" si="35"/>
        <v>1000</v>
      </c>
      <c r="K155" s="15">
        <f t="shared" si="35"/>
        <v>1000</v>
      </c>
      <c r="L155" s="15">
        <f t="shared" si="35"/>
        <v>1000</v>
      </c>
      <c r="M155" s="15">
        <f t="shared" si="35"/>
        <v>1000</v>
      </c>
      <c r="N155" s="15">
        <f t="shared" si="35"/>
        <v>1000</v>
      </c>
      <c r="O155" s="15">
        <f t="shared" si="35"/>
        <v>1000</v>
      </c>
      <c r="P155" s="15">
        <f>SUM(D155:O155)</f>
        <v>12000</v>
      </c>
    </row>
    <row r="156" spans="1:17" x14ac:dyDescent="0.3">
      <c r="A156" s="9"/>
      <c r="B156" s="20" t="s">
        <v>39</v>
      </c>
      <c r="C156" s="26">
        <f t="shared" si="33"/>
        <v>9.5583531879804551E-4</v>
      </c>
      <c r="D156" s="17">
        <f>SUM(D152:D155)</f>
        <v>4500</v>
      </c>
      <c r="E156" s="17">
        <f t="shared" ref="E156:P156" si="36">SUM(E152:E155)</f>
        <v>4500</v>
      </c>
      <c r="F156" s="17">
        <f t="shared" si="36"/>
        <v>4500</v>
      </c>
      <c r="G156" s="17">
        <f t="shared" si="36"/>
        <v>4500</v>
      </c>
      <c r="H156" s="17">
        <f t="shared" si="36"/>
        <v>4500</v>
      </c>
      <c r="I156" s="17">
        <f t="shared" si="36"/>
        <v>4500</v>
      </c>
      <c r="J156" s="17">
        <f t="shared" si="36"/>
        <v>4500</v>
      </c>
      <c r="K156" s="17">
        <f t="shared" si="36"/>
        <v>4500</v>
      </c>
      <c r="L156" s="17">
        <f t="shared" si="36"/>
        <v>4500</v>
      </c>
      <c r="M156" s="17">
        <f t="shared" si="36"/>
        <v>4500</v>
      </c>
      <c r="N156" s="17">
        <f t="shared" si="36"/>
        <v>4500</v>
      </c>
      <c r="O156" s="17">
        <f t="shared" si="36"/>
        <v>4500</v>
      </c>
      <c r="P156" s="17">
        <f t="shared" si="36"/>
        <v>54000</v>
      </c>
    </row>
    <row r="157" spans="1:17" x14ac:dyDescent="0.3">
      <c r="A157" s="9"/>
      <c r="B157" s="24"/>
      <c r="C157" s="18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</row>
    <row r="158" spans="1:17" x14ac:dyDescent="0.3">
      <c r="A158" s="31" t="s">
        <v>22</v>
      </c>
      <c r="B158" s="25"/>
      <c r="C158" s="38" t="e">
        <f t="shared" si="33"/>
        <v>#REF!</v>
      </c>
      <c r="D158" s="19" t="e">
        <f t="shared" ref="D158:O158" si="37">D149-D156</f>
        <v>#REF!</v>
      </c>
      <c r="E158" s="19" t="e">
        <f t="shared" si="37"/>
        <v>#REF!</v>
      </c>
      <c r="F158" s="19" t="e">
        <f t="shared" si="37"/>
        <v>#REF!</v>
      </c>
      <c r="G158" s="19" t="e">
        <f t="shared" si="37"/>
        <v>#REF!</v>
      </c>
      <c r="H158" s="19" t="e">
        <f t="shared" si="37"/>
        <v>#REF!</v>
      </c>
      <c r="I158" s="19" t="e">
        <f t="shared" si="37"/>
        <v>#REF!</v>
      </c>
      <c r="J158" s="19" t="e">
        <f t="shared" si="37"/>
        <v>#REF!</v>
      </c>
      <c r="K158" s="19" t="e">
        <f t="shared" si="37"/>
        <v>#REF!</v>
      </c>
      <c r="L158" s="19" t="e">
        <f t="shared" si="37"/>
        <v>#REF!</v>
      </c>
      <c r="M158" s="19" t="e">
        <f t="shared" si="37"/>
        <v>#REF!</v>
      </c>
      <c r="N158" s="19" t="e">
        <f t="shared" si="37"/>
        <v>#REF!</v>
      </c>
      <c r="O158" s="19" t="e">
        <f t="shared" si="37"/>
        <v>#REF!</v>
      </c>
      <c r="P158" s="19" t="e">
        <f>P149-P156</f>
        <v>#REF!</v>
      </c>
    </row>
    <row r="159" spans="1:17" x14ac:dyDescent="0.3">
      <c r="A159" s="8"/>
      <c r="B159" s="24"/>
      <c r="C159" s="32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</row>
    <row r="160" spans="1:17" x14ac:dyDescent="0.3">
      <c r="A160" s="31" t="s">
        <v>23</v>
      </c>
      <c r="B160" s="25"/>
      <c r="C160" s="33"/>
      <c r="D160" s="19" t="e">
        <f>D158</f>
        <v>#REF!</v>
      </c>
      <c r="E160" s="19" t="e">
        <f>D160+E158</f>
        <v>#REF!</v>
      </c>
      <c r="F160" s="19" t="e">
        <f t="shared" ref="F160:N160" si="38">E160+F158</f>
        <v>#REF!</v>
      </c>
      <c r="G160" s="19" t="e">
        <f t="shared" si="38"/>
        <v>#REF!</v>
      </c>
      <c r="H160" s="19" t="e">
        <f t="shared" si="38"/>
        <v>#REF!</v>
      </c>
      <c r="I160" s="19" t="e">
        <f t="shared" si="38"/>
        <v>#REF!</v>
      </c>
      <c r="J160" s="19" t="e">
        <f>I160+J158</f>
        <v>#REF!</v>
      </c>
      <c r="K160" s="19" t="e">
        <f t="shared" si="38"/>
        <v>#REF!</v>
      </c>
      <c r="L160" s="19" t="e">
        <f t="shared" si="38"/>
        <v>#REF!</v>
      </c>
      <c r="M160" s="19" t="e">
        <f>L160+M158</f>
        <v>#REF!</v>
      </c>
      <c r="N160" s="19" t="e">
        <f t="shared" si="38"/>
        <v>#REF!</v>
      </c>
      <c r="O160" s="19" t="e">
        <f>N160+O158</f>
        <v>#REF!</v>
      </c>
      <c r="P160" s="19" t="e">
        <f>O160</f>
        <v>#REF!</v>
      </c>
    </row>
    <row r="161" spans="2:16" x14ac:dyDescent="0.3"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6"/>
    </row>
    <row r="162" spans="2:16" x14ac:dyDescent="0.3"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6"/>
    </row>
    <row r="163" spans="2:16" ht="15.45" x14ac:dyDescent="0.4">
      <c r="B163" s="12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6"/>
    </row>
    <row r="164" spans="2:16" x14ac:dyDescent="0.3"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6"/>
    </row>
    <row r="165" spans="2:16" x14ac:dyDescent="0.3"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6"/>
    </row>
    <row r="166" spans="2:16" x14ac:dyDescent="0.3"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6"/>
    </row>
    <row r="167" spans="2:16" x14ac:dyDescent="0.3"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6"/>
    </row>
    <row r="168" spans="2:16" x14ac:dyDescent="0.3"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6"/>
    </row>
    <row r="169" spans="2:16" x14ac:dyDescent="0.3"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6"/>
    </row>
    <row r="170" spans="2:16" x14ac:dyDescent="0.3"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6"/>
    </row>
    <row r="171" spans="2:16" x14ac:dyDescent="0.3"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6"/>
    </row>
    <row r="172" spans="2:16" x14ac:dyDescent="0.3"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6"/>
    </row>
    <row r="173" spans="2:16" x14ac:dyDescent="0.3"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6"/>
    </row>
    <row r="174" spans="2:16" x14ac:dyDescent="0.3"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6"/>
    </row>
    <row r="175" spans="2:16" x14ac:dyDescent="0.3"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6"/>
    </row>
    <row r="176" spans="2:16" x14ac:dyDescent="0.3"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6"/>
    </row>
    <row r="177" spans="3:16" x14ac:dyDescent="0.3"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6"/>
    </row>
    <row r="178" spans="3:16" x14ac:dyDescent="0.3"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6"/>
    </row>
    <row r="179" spans="3:16" x14ac:dyDescent="0.3"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6"/>
    </row>
    <row r="180" spans="3:16" x14ac:dyDescent="0.3"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6"/>
    </row>
    <row r="181" spans="3:16" x14ac:dyDescent="0.3"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6"/>
    </row>
    <row r="182" spans="3:16" x14ac:dyDescent="0.3"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6"/>
    </row>
    <row r="183" spans="3:16" x14ac:dyDescent="0.3"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6"/>
    </row>
    <row r="184" spans="3:16" x14ac:dyDescent="0.3"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6"/>
    </row>
    <row r="185" spans="3:16" x14ac:dyDescent="0.3"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6"/>
    </row>
  </sheetData>
  <pageMargins left="0.27559055118110237" right="0.27559055118110237" top="0.27559055118110237" bottom="0.27559055118110237" header="0.31496062992125984" footer="0.31496062992125984"/>
  <pageSetup paperSize="9" scale="4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988D6D816C484886F6363830BFF3BF" ma:contentTypeVersion="0" ma:contentTypeDescription="Opprett et nytt dokument." ma:contentTypeScope="" ma:versionID="10290974597ae582ed25ee0b8d4ab0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dd2ce17124ddb418c21869c358904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89F584-F586-4525-9288-DCCB552E3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D4695D-D19F-4431-BCE3-44A3247B70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9450BE-F8A0-42CD-80BC-F2A2290EDA63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12</vt:i4>
      </vt:variant>
      <vt:variant>
        <vt:lpstr>Navngitte områder</vt:lpstr>
      </vt:variant>
      <vt:variant>
        <vt:i4>15</vt:i4>
      </vt:variant>
    </vt:vector>
  </HeadingPairs>
  <TitlesOfParts>
    <vt:vector size="27" baseType="lpstr">
      <vt:lpstr>Areal - Gruppen</vt:lpstr>
      <vt:lpstr>Areal - Budsjett 2020</vt:lpstr>
      <vt:lpstr>Fritzøe - budsj 2020</vt:lpstr>
      <vt:lpstr>KONSERN - Budsjett 2019</vt:lpstr>
      <vt:lpstr>Areal - forutsetn.</vt:lpstr>
      <vt:lpstr>Fritzøe - forutsetn</vt:lpstr>
      <vt:lpstr>Ark1</vt:lpstr>
      <vt:lpstr>Ark2</vt:lpstr>
      <vt:lpstr>Forutsetninger Areal-Gruppen</vt:lpstr>
      <vt:lpstr>Fritzøe - SERVICE</vt:lpstr>
      <vt:lpstr>Fritzøe - budsjett service</vt:lpstr>
      <vt:lpstr>Fritzøe - Budsjett 2019</vt:lpstr>
      <vt:lpstr>'Areal - Budsjett 2020'!SALDOBALANSE_1_10_2008_ALLEKTO</vt:lpstr>
      <vt:lpstr>'Areal - Gruppen'!SALDOBALANSE_1_10_2008_ALLEKTO</vt:lpstr>
      <vt:lpstr>'Fritzøe - budsj 2020'!SALDOBALANSE_1_10_2008_ALLEKTO</vt:lpstr>
      <vt:lpstr>'Fritzøe - Budsjett 2019'!SALDOBALANSE_1_10_2008_ALLEKTO</vt:lpstr>
      <vt:lpstr>'Fritzøe - budsjett service'!SALDOBALANSE_1_10_2008_ALLEKTO</vt:lpstr>
      <vt:lpstr>'KONSERN - Budsjett 2019'!SALDOBALANSE_1_10_2008_ALLEKTO</vt:lpstr>
      <vt:lpstr>'Areal - Budsjett 2020'!Utskriftsområde</vt:lpstr>
      <vt:lpstr>'Areal - forutsetn.'!Utskriftsområde</vt:lpstr>
      <vt:lpstr>'Areal - Gruppen'!Utskriftsområde</vt:lpstr>
      <vt:lpstr>'Fritzøe - budsj 2020'!Utskriftsområde</vt:lpstr>
      <vt:lpstr>'Fritzøe - Budsjett 2019'!Utskriftsområde</vt:lpstr>
      <vt:lpstr>'Fritzøe - budsjett service'!Utskriftsområde</vt:lpstr>
      <vt:lpstr>'Fritzøe - forutsetn'!Utskriftsområde</vt:lpstr>
      <vt:lpstr>'Fritzøe - SERVICE'!Utskriftsområde</vt:lpstr>
      <vt:lpstr>'KONSERN - Budsjett 2019'!Utskriftsområde</vt:lpstr>
    </vt:vector>
  </TitlesOfParts>
  <Company>Løwini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Halvard Nordang</dc:creator>
  <cp:lastModifiedBy>Halvard Nordang</cp:lastModifiedBy>
  <cp:lastPrinted>2019-01-27T22:15:09Z</cp:lastPrinted>
  <dcterms:created xsi:type="dcterms:W3CDTF">2010-11-17T23:10:12Z</dcterms:created>
  <dcterms:modified xsi:type="dcterms:W3CDTF">2026-05-22T17:01:25Z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0x01010050988D6D816C484886F6363830BFF3BF</vt:lpwstr>
  </property>
</Properties>
</file>